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2133122\Downloads\"/>
    </mc:Choice>
  </mc:AlternateContent>
  <xr:revisionPtr revIDLastSave="0" documentId="8_{E917A757-CB86-4AAC-ACFF-8BDEE07D0184}" xr6:coauthVersionLast="47" xr6:coauthVersionMax="47" xr10:uidLastSave="{00000000-0000-0000-0000-000000000000}"/>
  <bookViews>
    <workbookView xWindow="-110" yWindow="-110" windowWidth="19420" windowHeight="10300" tabRatio="936" activeTab="2"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9" l="1"/>
  <c r="K34" i="9" s="1"/>
  <c r="K33" i="9"/>
  <c r="J33" i="9"/>
  <c r="J32" i="9"/>
  <c r="G34" i="9"/>
  <c r="J19" i="9"/>
  <c r="J2" i="9" l="1"/>
  <c r="K2" i="9" s="1"/>
  <c r="G23" i="9" l="1"/>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<sst xmlns="http://schemas.openxmlformats.org/spreadsheetml/2006/main" count="746" uniqueCount="635">
  <si>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</si>
  <si>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</si>
  <si>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</si>
  <si>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</si>
  <si>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</si>
  <si>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</si>
  <si>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</si>
  <si>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</si>
  <si>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</si>
  <si>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</si>
  <si>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</si>
  <si>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</si>
  <si>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</si>
  <si>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</si>
  <si>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</si>
  <si>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</si>
  <si>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Final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</si>
  <si>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</si>
  <si>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</si>
  <si>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</si>
  <si>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</si>
  <si>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</si>
  <si>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</si>
  <si>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</si>
  <si>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</si>
  <si>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</si>
  <si>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</si>
  <si>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</si>
  <si>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</si>
  <si>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</si>
  <si>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</si>
  <si>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</si>
  <si>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</si>
  <si>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</si>
  <si>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</si>
  <si>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</si>
  <si>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</si>
  <si>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</si>
  <si>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</si>
  <si>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</si>
  <si>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</si>
  <si>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</si>
  <si>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</si>
  <si>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</si>
  <si>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</si>
  <si>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</si>
  <si>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</si>
  <si>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</si>
  <si>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</si>
  <si>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</si>
  <si>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</si>
  <si>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</si>
  <si>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</si>
  <si>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</si>
  <si>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</si>
  <si>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</si>
  <si>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</si>
  <si>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</si>
  <si>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</si>
  <si>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</si>
  <si>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</si>
  <si>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</si>
  <si>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</si>
  <si>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</si>
  <si>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</si>
  <si>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</si>
  <si>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</si>
  <si>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</si>
  <si>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</si>
  <si>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</si>
  <si>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</si>
  <si>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</si>
  <si>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</si>
  <si>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</si>
  <si>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</si>
  <si>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</si>
  <si>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</si>
  <si>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</si>
  <si>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</si>
  <si>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</si>
  <si>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</si>
  <si>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</si>
  <si>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</si>
  <si>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</si>
  <si>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</si>
  <si>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</si>
  <si>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</si>
  <si>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</si>
  <si>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</si>
  <si>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</si>
  <si>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</si>
  <si>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</si>
  <si>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</si>
  <si>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</si>
  <si>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</si>
  <si>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</si>
  <si>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</si>
  <si>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</si>
  <si>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</si>
  <si>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</si>
  <si>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</si>
  <si>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</si>
  <si>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</si>
  <si>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</si>
  <si>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</si>
  <si>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</si>
  <si>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</si>
  <si>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</si>
  <si>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</si>
  <si>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</si>
  <si>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</si>
  <si>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</si>
  <si>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</si>
  <si>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</si>
  <si>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</si>
  <si>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</si>
  <si>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</si>
  <si>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</si>
  <si>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</si>
  <si>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</si>
  <si>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</si>
  <si>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</si>
  <si>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</si>
  <si>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</si>
  <si>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</si>
  <si>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</si>
  <si>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</si>
  <si>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</si>
  <si>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</si>
  <si>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</si>
  <si>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</si>
  <si>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</si>
  <si>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</si>
  <si>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</si>
  <si>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</si>
  <si>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</si>
  <si>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</si>
  <si>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</si>
  <si>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</si>
  <si>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</si>
  <si>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</si>
  <si>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</si>
  <si>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</si>
  <si>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</si>
  <si>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</si>
  <si>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</si>
  <si>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</si>
  <si>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</si>
  <si>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</si>
  <si>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</si>
  <si>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</si>
  <si>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</si>
  <si>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</si>
  <si>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</si>
  <si>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</si>
  <si>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</si>
  <si>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</si>
  <si>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</si>
  <si>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</si>
  <si>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</si>
  <si>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</si>
  <si>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</si>
  <si>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</si>
  <si>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</si>
  <si>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</si>
  <si>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</si>
  <si>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</si>
  <si>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</si>
  <si>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</si>
  <si>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</si>
  <si>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</si>
  <si>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</si>
  <si>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</si>
  <si>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</si>
  <si>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</si>
  <si>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</si>
  <si>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</si>
  <si>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</si>
  <si>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</si>
  <si>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</si>
  <si>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</si>
  <si>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</si>
  <si>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</si>
  <si>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</si>
  <si>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</si>
  <si>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</si>
  <si>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</si>
  <si>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</si>
  <si>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</si>
  <si>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</si>
  <si>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</si>
  <si>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</si>
  <si>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</si>
  <si>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</si>
  <si>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</si>
  <si>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</si>
  <si>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</si>
  <si>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</si>
  <si>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</si>
  <si>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</si>
  <si>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</si>
  <si>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</si>
  <si>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</si>
  <si>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</si>
  <si>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</si>
  <si>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</si>
  <si>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</si>
  <si>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</si>
  <si>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</si>
  <si>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</si>
  <si>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</si>
  <si>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</si>
  <si>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</si>
  <si>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</si>
  <si>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</si>
  <si>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</si>
  <si>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</si>
  <si>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</si>
  <si>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</si>
  <si>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</si>
  <si>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</si>
  <si>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</si>
  <si>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</si>
  <si>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</si>
  <si>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</si>
  <si>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</si>
  <si>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</si>
  <si>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</si>
  <si>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</si>
  <si>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</si>
  <si>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</si>
  <si>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</si>
  <si>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</si>
  <si>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</si>
  <si>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</si>
  <si>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</si>
  <si>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</si>
  <si>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</si>
  <si>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</si>
  <si>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</si>
  <si>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</si>
  <si>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</si>
  <si>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</si>
  <si>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</si>
  <si>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</si>
  <si>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</si>
  <si>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</si>
  <si>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</si>
  <si>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</si>
  <si>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</si>
  <si>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</si>
  <si>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</si>
  <si>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</si>
  <si>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</si>
  <si>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</si>
  <si>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</si>
  <si>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</si>
  <si>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</si>
  <si>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</si>
  <si>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</si>
  <si>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</si>
  <si>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</si>
  <si>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</si>
  <si>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</si>
  <si>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</si>
  <si>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</si>
  <si>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</si>
  <si>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</si>
  <si>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</si>
  <si>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</si>
  <si>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</si>
  <si>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</si>
  <si>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</si>
  <si>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</si>
  <si>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</si>
  <si>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</si>
  <si>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</si>
  <si>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</si>
  <si>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</si>
  <si>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</si>
  <si>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</si>
  <si>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</si>
  <si>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</si>
  <si>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</si>
  <si>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</si>
  <si>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</si>
  <si>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</si>
  <si>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</si>
  <si>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</si>
  <si>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</si>
  <si>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</si>
  <si>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</si>
  <si>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</si>
  <si>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</si>
  <si>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</si>
  <si>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</si>
  <si>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</si>
  <si>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</si>
  <si>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</si>
  <si>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</si>
  <si>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</si>
  <si>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</si>
  <si>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</si>
  <si>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</si>
  <si>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</si>
  <si>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</si>
  <si>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</si>
  <si>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</si>
  <si>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</si>
  <si>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</si>
  <si>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</si>
  <si>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</si>
  <si>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</si>
  <si>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</si>
  <si>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</si>
  <si>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</si>
  <si>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</si>
  <si>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</si>
  <si>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</si>
  <si>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</si>
  <si>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</si>
  <si>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</si>
  <si>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</si>
  <si>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</si>
  <si>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</si>
  <si>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</si>
  <si>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</si>
  <si>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</si>
  <si>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</si>
  <si>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</si>
  <si>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</si>
  <si>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</si>
  <si>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</si>
  <si>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</si>
  <si>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</si>
  <si>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</si>
  <si>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</si>
  <si>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</si>
  <si>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</si>
  <si>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</si>
  <si>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</si>
  <si>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</si>
  <si>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</si>
  <si>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Angular (v20.0)</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</si>
  <si>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</si>
  <si>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</si>
  <si>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</si>
  <si>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</si>
  <si>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</si>
  <si>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</si>
  <si>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</si>
  <si>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</si>
  <si>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</si>
  <si>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</si>
  <si>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</si>
  <si>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</si>
  <si>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</si>
  <si>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</si>
  <si>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</si>
  <si>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</si>
  <si>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</si>
  <si>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</si>
  <si>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</si>
  <si>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</si>
  <si>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</si>
  <si>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</si>
  <si>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</si>
  <si>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</si>
  <si>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</si>
  <si>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</si>
  <si>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</si>
  <si>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</si>
  <si>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</si>
  <si>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</si>
  <si>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</si>
  <si>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</si>
  <si>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</si>
  <si>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</si>
  <si>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</si>
  <si>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</si>
  <si>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</si>
  <si>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</si>
  <si>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</si>
  <si>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</si>
  <si>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</si>
  <si>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</si>
  <si>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</si>
  <si>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</si>
  <si>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</si>
  <si>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</si>
  <si>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</si>
  <si>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</si>
  <si>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</si>
  <si>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</si>
  <si>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</si>
  <si>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</si>
  <si>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</si>
  <si>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</si>
  <si>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</si>
  <si>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</si>
  <si>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</si>
  <si>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</si>
  <si>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</si>
  <si>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</si>
  <si>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</si>
  <si>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</si>
  <si>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</si>
  <si>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</si>
  <si>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</si>
  <si>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</si>
  <si>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</si>
  <si>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</si>
  <si>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</si>
  <si>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</si>
  <si>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</si>
  <si>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</si>
  <si>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</si>
  <si>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</si>
  <si>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</si>
  <si>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</si>
  <si>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</si>
  <si>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</si>
  <si>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</si>
  <si>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</si>
  <si>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</si>
  <si>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</si>
  <si>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</si>
  <si>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</si>
  <si>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</si>
  <si>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</si>
  <si>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</si>
  <si>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</si>
  <si>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</si>
  <si>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</si>
  <si>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</si>
  <si>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</si>
  <si>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</si>
  <si>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</si>
  <si>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</si>
  <si>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</si>
  <si>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</si>
  <si>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</si>
  <si>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</si>
  <si>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</si>
  <si>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</si>
  <si>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</si>
  <si>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</si>
  <si>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</si>
  <si>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</si>
  <si>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</si>
  <si>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</si>
  <si>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</si>
  <si>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</si>
  <si>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</si>
  <si>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</si>
  <si>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</si>
  <si>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</si>
  <si>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</si>
  <si>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</si>
  <si>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</si>
  <si>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</si>
  <si>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</si>
  <si>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</si>
  <si>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</si>
  <si>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</si>
  <si>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</si>
  <si>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</si>
  <si>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</si>
  <si>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</si>
  <si>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</si>
  <si>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</si>
  <si>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</si>
  <si>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</si>
  <si>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</si>
  <si>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</si>
  <si>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</si>
  <si>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</si>
  <si>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</si>
  <si>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</si>
  <si>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</si>
  <si>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</si>
  <si>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</si>
  <si>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</si>
  <si>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</si>
  <si>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</si>
  <si>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</si>
  <si>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</si>
  <si>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</si>
  <si>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</si>
  <si>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</si>
  <si>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</si>
  <si>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</si>
  <si>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</si>
  <si>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</si>
  <si>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</si>
  <si>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</si>
  <si>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</si>
  <si>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</si>
  <si>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</si>
  <si>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</si>
  <si>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</si>
  <si>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</si>
  <si>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</si>
  <si>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</si>
  <si>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</si>
  <si>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</si>
  <si>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</si>
  <si>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</si>
  <si>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</si>
  <si>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</si>
  <si>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</si>
  <si>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</si>
  <si>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</si>
  <si>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</si>
  <si>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</si>
  <si>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</si>
  <si>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</si>
  <si>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</si>
  <si>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</si>
  <si>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</si>
  <si>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</si>
  <si>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</si>
  <si>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</si>
  <si>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</si>
  <si>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</si>
  <si>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</si>
  <si>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</si>
  <si>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</si>
  <si>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</si>
  <si>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</si>
  <si>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</si>
  <si>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</si>
  <si>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</si>
  <si>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</si>
  <si>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</si>
  <si>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</si>
  <si>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</si>
  <si>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</si>
  <si>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</si>
  <si>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</si>
  <si>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</si>
  <si>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</si>
  <si>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</si>
  <si>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</si>
  <si>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</si>
  <si>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</si>
  <si>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</si>
  <si>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</si>
  <si>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</si>
  <si>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</si>
  <si>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</si>
  <si>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</si>
  <si>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</si>
  <si>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</si>
  <si>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</si>
  <si>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</si>
  <si>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</si>
  <si>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</si>
  <si>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Visual Studio Code
• Node.js
• Angular CLI
• Chrome Developer Tools</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</si>
  <si>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</si>
  <si>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</si>
  <si>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</si>
  <si>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</si>
  <si>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</si>
  <si>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</si>
  <si>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</si>
  <si>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</si>
  <si>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</si>
  <si>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</si>
  <si>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</si>
  <si>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Node.js
TypeScript
Bootstrap 5
Angular (v20.0)
Application Debugging - Front-end</t>
  </si>
  <si>
    <t>• Build Angular SPA with Bootstrap
• Debug front-end issues
• Integrate REST APIs with Angular</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</si>
  <si>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</si>
  <si>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</si>
  <si>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</si>
  <si>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</si>
  <si>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</si>
  <si>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</si>
  <si>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</si>
  <si>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</si>
  <si>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</si>
  <si>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</si>
  <si>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</si>
  <si>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</si>
  <si>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</si>
  <si>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</si>
  <si>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</si>
  <si>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</si>
  <si>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</si>
  <si>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</si>
  <si>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</si>
  <si>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</si>
  <si>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</si>
  <si>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</si>
  <si>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</si>
  <si>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</si>
  <si>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</si>
  <si>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</si>
  <si>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</si>
  <si>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</si>
  <si>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</si>
  <si>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</si>
  <si>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</si>
  <si>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</si>
  <si>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</si>
  <si>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</si>
  <si>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</si>
  <si>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</si>
  <si>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</si>
  <si>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</si>
  <si>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</si>
  <si>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</si>
  <si>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</si>
  <si>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</si>
  <si>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</si>
  <si>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</si>
  <si>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</si>
  <si>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</si>
  <si>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</si>
  <si>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BH Pre-Assessment</t>
  </si>
  <si>
    <t>Pre-Assessment</t>
  </si>
  <si>
    <t>Week 8</t>
  </si>
  <si>
    <t>BH Post-Assessment</t>
  </si>
  <si>
    <t>Post-Assessment</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</si>
  <si>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Angular for rapid UI development.
• Develop dynamic single-page applications using Angular’s component-based architecture.
• Implement routing, forms, and HTTP communication in Angular applications.
• Apply Angular best practices for modularity, performance, and maintainability.
• Identify and resolve front-end issues using browser developer tools.
• Use console logging and breakpoints to trace and fix UI and logic errors.
• Optimize front-end performance by analyzing rendering, memory usage, and network bottlenecks.</t>
  </si>
  <si>
    <t>Leadership Connects</t>
  </si>
  <si>
    <t>Stages/Levels</t>
  </si>
  <si>
    <t>Stage 1 -Refresher</t>
  </si>
  <si>
    <t>Stage 2</t>
  </si>
  <si>
    <t>Stage 3</t>
  </si>
  <si>
    <t>Stage 4</t>
  </si>
  <si>
    <t>Others</t>
  </si>
  <si>
    <t>IDE Java FSE - Angular (Stage 2 Plus)</t>
  </si>
  <si>
    <t>IDE Java FSE - Angular</t>
  </si>
  <si>
    <t>GENCs/Interns tagged to IDE FSE Java - Angular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</si>
</sst>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indexed="64"/>
      </left>
      <right/>
      <top style="thin">
        <color indexed="64"/>
      </top>
      <bottom/>
      <diagonal/>
    </border>
  </borders>
  <cellStyleXfs count="1">
    <xf numFmtId="0" fontId="0" fillId="0" borderId="0"/>
  </cellStyleXfs>
  <cellXfs count="145">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 fillId="0" borderId="14" xfId="0" applyFont="1" applyBorder="1"/>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6" xfId="0" applyFont="1" applyFill="1" applyBorder="1" applyAlignment="1">
      <alignment horizontal="left" wrapText="1"/>
    </xf>
    <xf numFmtId="0" fontId="3" fillId="13" borderId="19" xfId="0" applyFont="1" applyFill="1" applyBorder="1" applyAlignment="1">
      <alignment horizontal="left"/>
    </xf>
    <xf numFmtId="0" fontId="3" fillId="13" borderId="20" xfId="0" applyFont="1" applyFill="1" applyBorder="1" applyAlignment="1">
      <alignment horizontal="left" wrapText="1"/>
    </xf>
    <xf numFmtId="0" fontId="3" fillId="13" borderId="19" xfId="0" applyFont="1" applyFill="1" applyBorder="1" applyAlignment="1">
      <alignment horizontal="left" wrapText="1"/>
    </xf>
    <xf numFmtId="0" fontId="3" fillId="13" borderId="15" xfId="0" applyFont="1" applyFill="1" applyBorder="1" applyAlignment="1">
      <alignment horizontal="left" wrapText="1"/>
    </xf>
    <xf numFmtId="0" fontId="7" fillId="0" borderId="2" xfId="0" applyFont="1" applyBorder="1" applyAlignment="1">
      <alignment vertical="top" wrapText="1"/>
    </xf>
    <xf numFmtId="0" fontId="7" fillId="0" borderId="18" xfId="0" applyFont="1" applyBorder="1" applyAlignment="1">
      <alignment horizontal="left" vertical="top" wrapText="1"/>
    </xf>
    <xf numFmtId="0" fontId="3" fillId="0" borderId="16" xfId="0" applyFont="1" applyBorder="1" applyAlignment="1">
      <alignment horizontal="left" vertical="top" wrapText="1"/>
    </xf>
    <xf numFmtId="0" fontId="3" fillId="0" borderId="7" xfId="0" applyFont="1" applyBorder="1" applyAlignment="1">
      <alignment horizontal="left" vertical="top" wrapText="1"/>
    </xf>
    <xf numFmtId="0" fontId="3" fillId="0" borderId="17"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1" fillId="0" borderId="23" xfId="0" applyFont="1" applyBorder="1"/>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8" fillId="5" borderId="4" xfId="0" applyFont="1" applyFill="1" applyBorder="1" applyAlignment="1">
      <alignment vertical="top" wrapText="1"/>
    </xf>
    <xf numFmtId="0" fontId="8" fillId="5" borderId="5" xfId="0" applyFont="1" applyFill="1" applyBorder="1" applyAlignment="1">
      <alignment vertical="top" wrapText="1"/>
    </xf>
    <xf numFmtId="0" fontId="10" fillId="7" borderId="8" xfId="0" applyFont="1" applyFill="1" applyBorder="1" applyAlignment="1">
      <alignment vertical="top"/>
    </xf>
    <xf numFmtId="0" fontId="10" fillId="7" borderId="0" xfId="0" applyFont="1" applyFill="1" applyAlignment="1">
      <alignment vertical="top"/>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4" fillId="0" borderId="25"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11" fillId="0" borderId="1" xfId="0" applyFont="1" applyBorder="1" applyAlignment="1">
      <alignment horizontal="center" vertical="top" textRotation="90" wrapText="1"/>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11" fillId="0" borderId="1" xfId="0" applyFont="1" applyBorder="1" applyAlignment="1">
      <alignment horizontal="center" vertical="center" textRotation="90"/>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8" fillId="10" borderId="1" xfId="0" applyFont="1" applyFill="1" applyBorder="1" applyAlignment="1">
      <alignment horizontal="right" vertical="top" wrapText="1"/>
    </xf>
    <xf numFmtId="0" fontId="4" fillId="0" borderId="1" xfId="0" applyFont="1" applyBorder="1" applyAlignment="1">
      <alignment horizontal="center" vertical="center" textRotation="90"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1" fillId="0" borderId="23" xfId="0" applyFont="1" applyBorder="1" applyAlignment="1">
      <alignment horizontal="left" vertical="center"/>
    </xf>
    <xf numFmtId="0" fontId="1" fillId="0" borderId="2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3" fillId="0" borderId="21" xfId="0" applyFont="1" applyBorder="1" applyAlignment="1">
      <alignment horizontal="left"/>
    </xf>
    <xf numFmtId="0" fontId="3" fillId="0" borderId="22" xfId="0" applyFont="1" applyBorder="1" applyAlignment="1">
      <alignment horizontal="left"/>
    </xf>
    <xf numFmtId="0" fontId="3" fillId="13" borderId="22"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D9" sqref="D9"/>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4" t="s">
        <v>632</v>
      </c>
      <c r="B1" s="85"/>
    </row>
    <row r="2" spans="1:2" x14ac:dyDescent="0.35">
      <c r="A2" s="2" t="s">
        <v>0</v>
      </c>
      <c r="B2" s="3" t="s">
        <v>633</v>
      </c>
    </row>
    <row r="3" spans="1:2" x14ac:dyDescent="0.35">
      <c r="A3" s="2"/>
      <c r="B3" s="3"/>
    </row>
    <row r="4" spans="1:2" x14ac:dyDescent="0.35">
      <c r="A4" s="2" t="s">
        <v>1</v>
      </c>
      <c r="B4" s="3" t="s">
        <v>2</v>
      </c>
    </row>
    <row r="5" spans="1:2" x14ac:dyDescent="0.35">
      <c r="A5" s="2"/>
      <c r="B5" s="3"/>
    </row>
    <row r="6" spans="1:2" ht="42" x14ac:dyDescent="0.35">
      <c r="A6" s="2" t="s">
        <v>260</v>
      </c>
      <c r="B6" s="3" t="s">
        <v>3</v>
      </c>
    </row>
    <row r="7" spans="1:2" x14ac:dyDescent="0.35">
      <c r="A7" s="2"/>
      <c r="B7" s="3"/>
    </row>
    <row r="8" spans="1:2" x14ac:dyDescent="0.35">
      <c r="A8" s="4" t="s">
        <v>4</v>
      </c>
      <c r="B8" s="86" t="s">
        <v>634</v>
      </c>
    </row>
    <row r="9" spans="1:2" x14ac:dyDescent="0.35">
      <c r="A9" s="4"/>
      <c r="B9" s="86"/>
    </row>
    <row r="10" spans="1:2" x14ac:dyDescent="0.35">
      <c r="A10" s="4" t="s">
        <v>5</v>
      </c>
      <c r="B10" s="86" t="s">
        <v>339</v>
      </c>
    </row>
    <row r="11" spans="1:2" ht="35.5" customHeight="1" x14ac:dyDescent="0.35">
      <c r="A11" s="5"/>
      <c r="B11" s="87"/>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zoomScale="70" zoomScaleNormal="70" workbookViewId="0">
      <selection activeCell="H6" sqref="H6"/>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4" t="s">
        <v>592</v>
      </c>
      <c r="B2" s="10" t="s">
        <v>593</v>
      </c>
      <c r="C2" s="9" t="s">
        <v>594</v>
      </c>
      <c r="D2" s="10" t="s">
        <v>595</v>
      </c>
      <c r="E2" s="10" t="s">
        <v>596</v>
      </c>
      <c r="F2" s="10" t="s">
        <v>599</v>
      </c>
      <c r="G2" s="13" t="s">
        <v>600</v>
      </c>
      <c r="H2" s="10" t="s">
        <v>602</v>
      </c>
    </row>
    <row r="3" spans="1:8" ht="126" x14ac:dyDescent="0.35">
      <c r="A3" s="13" t="s">
        <v>550</v>
      </c>
      <c r="B3" s="13" t="s">
        <v>597</v>
      </c>
      <c r="C3" s="12" t="s">
        <v>598</v>
      </c>
      <c r="D3" s="13" t="s">
        <v>552</v>
      </c>
      <c r="E3" s="13" t="s">
        <v>564</v>
      </c>
      <c r="F3" s="13" t="s">
        <v>553</v>
      </c>
      <c r="G3" s="13" t="s">
        <v>601</v>
      </c>
      <c r="H3" s="13" t="s">
        <v>603</v>
      </c>
    </row>
    <row r="4" spans="1:8" ht="84" x14ac:dyDescent="0.35">
      <c r="A4" s="13" t="s">
        <v>551</v>
      </c>
      <c r="B4" s="13" t="s">
        <v>604</v>
      </c>
      <c r="C4" s="12" t="s">
        <v>605</v>
      </c>
      <c r="D4" s="13" t="s">
        <v>555</v>
      </c>
      <c r="E4" s="13" t="s">
        <v>565</v>
      </c>
      <c r="F4" s="13" t="s">
        <v>554</v>
      </c>
      <c r="G4" s="13" t="s">
        <v>606</v>
      </c>
      <c r="H4" s="13" t="s">
        <v>559</v>
      </c>
    </row>
    <row r="5" spans="1:8" ht="84" x14ac:dyDescent="0.35">
      <c r="A5" s="13" t="s">
        <v>556</v>
      </c>
      <c r="B5" s="13" t="s">
        <v>607</v>
      </c>
      <c r="C5" s="12" t="s">
        <v>569</v>
      </c>
      <c r="D5" s="13" t="s">
        <v>570</v>
      </c>
      <c r="E5" s="13" t="s">
        <v>566</v>
      </c>
      <c r="F5" s="13" t="s">
        <v>571</v>
      </c>
      <c r="G5" s="13" t="s">
        <v>557</v>
      </c>
      <c r="H5" s="13" t="s">
        <v>558</v>
      </c>
    </row>
    <row r="6" spans="1:8" ht="84" x14ac:dyDescent="0.35">
      <c r="A6" s="13" t="s">
        <v>608</v>
      </c>
      <c r="B6" s="13" t="s">
        <v>561</v>
      </c>
      <c r="C6" s="12" t="s">
        <v>609</v>
      </c>
      <c r="D6" s="13" t="s">
        <v>560</v>
      </c>
      <c r="E6" s="13" t="s">
        <v>567</v>
      </c>
      <c r="F6" s="13" t="s">
        <v>563</v>
      </c>
      <c r="G6" s="13" t="s">
        <v>610</v>
      </c>
      <c r="H6" s="13" t="s">
        <v>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tabSelected="1" zoomScale="70" zoomScaleNormal="70" workbookViewId="0">
      <pane ySplit="1" topLeftCell="A2" activePane="bottomLeft" state="frozen"/>
      <selection activeCell="B1" sqref="B1"/>
      <selection pane="bottomLeft" activeCell="C41" sqref="C41"/>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626</v>
      </c>
      <c r="B1" s="14" t="s">
        <v>261</v>
      </c>
      <c r="C1" s="14" t="s">
        <v>17</v>
      </c>
      <c r="D1" s="14" t="s">
        <v>18</v>
      </c>
      <c r="E1" s="14" t="s">
        <v>19</v>
      </c>
      <c r="F1" s="14" t="s">
        <v>20</v>
      </c>
      <c r="G1" s="15" t="s">
        <v>21</v>
      </c>
      <c r="H1" s="14" t="s">
        <v>22</v>
      </c>
      <c r="I1" s="14" t="s">
        <v>23</v>
      </c>
      <c r="J1" s="15" t="s">
        <v>301</v>
      </c>
      <c r="K1" s="14" t="s">
        <v>302</v>
      </c>
    </row>
    <row r="2" spans="1:11" x14ac:dyDescent="0.35">
      <c r="A2" s="91" t="s">
        <v>627</v>
      </c>
      <c r="B2" s="93" t="s">
        <v>331</v>
      </c>
      <c r="C2" s="17" t="s">
        <v>324</v>
      </c>
      <c r="D2" s="18" t="s">
        <v>338</v>
      </c>
      <c r="E2" s="99" t="s">
        <v>591</v>
      </c>
      <c r="F2" s="102">
        <v>40</v>
      </c>
      <c r="G2" s="19">
        <f t="shared" ref="G2:G8" si="0">ROUND(F2/9,2)</f>
        <v>4.4400000000000004</v>
      </c>
      <c r="H2" s="18" t="s">
        <v>26</v>
      </c>
      <c r="I2" s="18"/>
      <c r="J2" s="106">
        <f>40+F5</f>
        <v>45</v>
      </c>
      <c r="K2" s="109">
        <f>ROUND(J2/45,2)</f>
        <v>1</v>
      </c>
    </row>
    <row r="3" spans="1:11" s="16" customFormat="1" x14ac:dyDescent="0.35">
      <c r="A3" s="91"/>
      <c r="B3" s="93"/>
      <c r="C3" s="17" t="s">
        <v>310</v>
      </c>
      <c r="D3" s="20" t="s">
        <v>306</v>
      </c>
      <c r="E3" s="100"/>
      <c r="F3" s="103"/>
      <c r="G3" s="19">
        <f t="shared" si="0"/>
        <v>0</v>
      </c>
      <c r="H3" s="20" t="s">
        <v>26</v>
      </c>
      <c r="I3" s="20"/>
      <c r="J3" s="106"/>
      <c r="K3" s="109"/>
    </row>
    <row r="4" spans="1:11" s="16" customFormat="1" x14ac:dyDescent="0.35">
      <c r="A4" s="91"/>
      <c r="B4" s="93"/>
      <c r="C4" s="22" t="s">
        <v>311</v>
      </c>
      <c r="D4" s="20" t="s">
        <v>504</v>
      </c>
      <c r="E4" s="101"/>
      <c r="F4" s="104"/>
      <c r="G4" s="19">
        <f t="shared" si="0"/>
        <v>0</v>
      </c>
      <c r="H4" s="20" t="s">
        <v>26</v>
      </c>
      <c r="I4" s="20"/>
      <c r="J4" s="106"/>
      <c r="K4" s="109"/>
    </row>
    <row r="5" spans="1:11" s="16" customFormat="1" x14ac:dyDescent="0.35">
      <c r="A5" s="91"/>
      <c r="B5" s="93"/>
      <c r="C5" s="43" t="s">
        <v>293</v>
      </c>
      <c r="D5" s="43" t="s">
        <v>43</v>
      </c>
      <c r="E5" s="43" t="s">
        <v>30</v>
      </c>
      <c r="F5" s="44">
        <v>5</v>
      </c>
      <c r="G5" s="19">
        <f t="shared" si="0"/>
        <v>0.56000000000000005</v>
      </c>
      <c r="H5" s="20" t="s">
        <v>25</v>
      </c>
      <c r="I5" s="20"/>
      <c r="J5" s="106"/>
      <c r="K5" s="109"/>
    </row>
    <row r="6" spans="1:11" s="16" customFormat="1" ht="28" x14ac:dyDescent="0.35">
      <c r="A6" s="92" t="s">
        <v>628</v>
      </c>
      <c r="B6" s="92" t="s">
        <v>289</v>
      </c>
      <c r="C6" s="17" t="s">
        <v>312</v>
      </c>
      <c r="D6" s="18" t="s">
        <v>24</v>
      </c>
      <c r="E6" s="18" t="s">
        <v>44</v>
      </c>
      <c r="F6" s="19">
        <v>9</v>
      </c>
      <c r="G6" s="19">
        <f t="shared" si="0"/>
        <v>1</v>
      </c>
      <c r="H6" s="18" t="s">
        <v>26</v>
      </c>
      <c r="I6" s="20"/>
      <c r="J6" s="105">
        <f>SUM(F6:F13)</f>
        <v>136</v>
      </c>
      <c r="K6" s="108">
        <f>ROUND(J6/45,2)</f>
        <v>3.02</v>
      </c>
    </row>
    <row r="7" spans="1:11" s="16" customFormat="1" x14ac:dyDescent="0.35">
      <c r="A7" s="93"/>
      <c r="B7" s="93"/>
      <c r="C7" s="17" t="s">
        <v>329</v>
      </c>
      <c r="D7" s="18" t="s">
        <v>330</v>
      </c>
      <c r="E7" s="18" t="s">
        <v>44</v>
      </c>
      <c r="F7" s="19">
        <v>9</v>
      </c>
      <c r="G7" s="19">
        <f t="shared" si="0"/>
        <v>1</v>
      </c>
      <c r="H7" s="18" t="s">
        <v>26</v>
      </c>
      <c r="I7" s="20"/>
      <c r="J7" s="106"/>
      <c r="K7" s="109"/>
    </row>
    <row r="8" spans="1:11" s="16" customFormat="1" x14ac:dyDescent="0.35">
      <c r="A8" s="93"/>
      <c r="B8" s="93"/>
      <c r="C8" s="17" t="s">
        <v>313</v>
      </c>
      <c r="D8" s="18" t="s">
        <v>303</v>
      </c>
      <c r="E8" s="18" t="s">
        <v>44</v>
      </c>
      <c r="F8" s="19">
        <v>9</v>
      </c>
      <c r="G8" s="19">
        <f t="shared" si="0"/>
        <v>1</v>
      </c>
      <c r="H8" s="18" t="s">
        <v>26</v>
      </c>
      <c r="I8" s="20"/>
      <c r="J8" s="106"/>
      <c r="K8" s="109"/>
    </row>
    <row r="9" spans="1:11" ht="28" x14ac:dyDescent="0.35">
      <c r="A9" s="93"/>
      <c r="B9" s="93"/>
      <c r="C9" s="17" t="s">
        <v>314</v>
      </c>
      <c r="D9" s="17" t="s">
        <v>304</v>
      </c>
      <c r="E9" s="18" t="s">
        <v>44</v>
      </c>
      <c r="F9" s="24">
        <v>18</v>
      </c>
      <c r="G9" s="19">
        <f t="shared" ref="G9:G32" si="1">ROUND(F9/9,2)</f>
        <v>2</v>
      </c>
      <c r="H9" s="20" t="s">
        <v>26</v>
      </c>
      <c r="I9" s="18"/>
      <c r="J9" s="106"/>
      <c r="K9" s="109"/>
    </row>
    <row r="10" spans="1:11" ht="14.5" customHeight="1" x14ac:dyDescent="0.35">
      <c r="A10" s="93"/>
      <c r="B10" s="93"/>
      <c r="C10" s="17" t="s">
        <v>315</v>
      </c>
      <c r="D10" s="20" t="s">
        <v>305</v>
      </c>
      <c r="E10" s="20" t="s">
        <v>44</v>
      </c>
      <c r="F10" s="19">
        <v>18</v>
      </c>
      <c r="G10" s="19">
        <f t="shared" si="1"/>
        <v>2</v>
      </c>
      <c r="H10" s="20" t="s">
        <v>26</v>
      </c>
      <c r="I10" s="18"/>
      <c r="J10" s="106"/>
      <c r="K10" s="109"/>
    </row>
    <row r="11" spans="1:11" x14ac:dyDescent="0.35">
      <c r="A11" s="93"/>
      <c r="B11" s="93"/>
      <c r="C11" s="17" t="s">
        <v>316</v>
      </c>
      <c r="D11" s="18" t="s">
        <v>28</v>
      </c>
      <c r="E11" s="18" t="s">
        <v>44</v>
      </c>
      <c r="F11" s="19">
        <f>4*9</f>
        <v>36</v>
      </c>
      <c r="G11" s="19">
        <f t="shared" si="1"/>
        <v>4</v>
      </c>
      <c r="H11" s="18" t="s">
        <v>26</v>
      </c>
      <c r="I11" s="18"/>
      <c r="J11" s="106"/>
      <c r="K11" s="109"/>
    </row>
    <row r="12" spans="1:11" x14ac:dyDescent="0.35">
      <c r="A12" s="93"/>
      <c r="B12" s="93"/>
      <c r="C12" s="17" t="s">
        <v>317</v>
      </c>
      <c r="D12" s="18" t="s">
        <v>29</v>
      </c>
      <c r="E12" s="18" t="s">
        <v>44</v>
      </c>
      <c r="F12" s="19">
        <v>36</v>
      </c>
      <c r="G12" s="19">
        <f t="shared" si="1"/>
        <v>4</v>
      </c>
      <c r="H12" s="18" t="s">
        <v>26</v>
      </c>
      <c r="I12" s="18"/>
      <c r="J12" s="106"/>
      <c r="K12" s="109"/>
    </row>
    <row r="13" spans="1:11" ht="28" x14ac:dyDescent="0.35">
      <c r="A13" s="94"/>
      <c r="B13" s="94"/>
      <c r="C13" s="43" t="s">
        <v>294</v>
      </c>
      <c r="D13" s="43" t="s">
        <v>295</v>
      </c>
      <c r="E13" s="43" t="s">
        <v>30</v>
      </c>
      <c r="F13" s="44">
        <v>1</v>
      </c>
      <c r="G13" s="19">
        <f t="shared" si="1"/>
        <v>0.11</v>
      </c>
      <c r="H13" s="18" t="s">
        <v>355</v>
      </c>
      <c r="I13" s="18"/>
      <c r="J13" s="107"/>
      <c r="K13" s="110"/>
    </row>
    <row r="14" spans="1:11" x14ac:dyDescent="0.35">
      <c r="A14" s="95" t="s">
        <v>629</v>
      </c>
      <c r="B14" s="113" t="s">
        <v>290</v>
      </c>
      <c r="C14" s="17" t="s">
        <v>318</v>
      </c>
      <c r="D14" s="20" t="s">
        <v>31</v>
      </c>
      <c r="E14" s="18" t="s">
        <v>44</v>
      </c>
      <c r="F14" s="19">
        <v>54</v>
      </c>
      <c r="G14" s="19">
        <f t="shared" si="1"/>
        <v>6</v>
      </c>
      <c r="H14" s="18" t="s">
        <v>26</v>
      </c>
      <c r="I14" s="18"/>
      <c r="J14" s="105">
        <f>SUM(F14:F18)</f>
        <v>108</v>
      </c>
      <c r="K14" s="108">
        <f>ROUND(J14/45,2)</f>
        <v>2.4</v>
      </c>
    </row>
    <row r="15" spans="1:11" x14ac:dyDescent="0.35">
      <c r="A15" s="95"/>
      <c r="B15" s="113"/>
      <c r="C15" s="17" t="s">
        <v>320</v>
      </c>
      <c r="D15" s="20" t="s">
        <v>107</v>
      </c>
      <c r="E15" s="18" t="s">
        <v>44</v>
      </c>
      <c r="F15" s="19">
        <v>9</v>
      </c>
      <c r="G15" s="19">
        <f t="shared" si="1"/>
        <v>1</v>
      </c>
      <c r="H15" s="18" t="s">
        <v>26</v>
      </c>
      <c r="I15" s="18"/>
      <c r="J15" s="106"/>
      <c r="K15" s="109"/>
    </row>
    <row r="16" spans="1:11" ht="28" x14ac:dyDescent="0.35">
      <c r="A16" s="95"/>
      <c r="B16" s="113"/>
      <c r="C16" s="17" t="s">
        <v>326</v>
      </c>
      <c r="D16" s="20" t="s">
        <v>34</v>
      </c>
      <c r="E16" s="18" t="s">
        <v>44</v>
      </c>
      <c r="F16" s="19">
        <v>18</v>
      </c>
      <c r="G16" s="19">
        <f>F16/9</f>
        <v>2</v>
      </c>
      <c r="H16" s="18" t="s">
        <v>26</v>
      </c>
      <c r="I16" s="18"/>
      <c r="J16" s="106"/>
      <c r="K16" s="109"/>
    </row>
    <row r="17" spans="1:11" x14ac:dyDescent="0.35">
      <c r="A17" s="95"/>
      <c r="B17" s="113"/>
      <c r="C17" s="17" t="s">
        <v>321</v>
      </c>
      <c r="D17" s="18" t="s">
        <v>35</v>
      </c>
      <c r="E17" s="18" t="s">
        <v>44</v>
      </c>
      <c r="F17" s="19">
        <v>9</v>
      </c>
      <c r="G17" s="19">
        <f t="shared" ref="G17:G24" si="2">ROUND(F17/9,2)</f>
        <v>1</v>
      </c>
      <c r="H17" s="18" t="s">
        <v>26</v>
      </c>
      <c r="I17" s="18"/>
      <c r="J17" s="106"/>
      <c r="K17" s="109"/>
    </row>
    <row r="18" spans="1:11" x14ac:dyDescent="0.35">
      <c r="A18" s="95"/>
      <c r="B18" s="113"/>
      <c r="C18" s="70" t="s">
        <v>335</v>
      </c>
      <c r="D18" s="70" t="s">
        <v>15</v>
      </c>
      <c r="E18" s="70" t="s">
        <v>298</v>
      </c>
      <c r="F18" s="73">
        <v>18</v>
      </c>
      <c r="G18" s="23">
        <f t="shared" si="2"/>
        <v>2</v>
      </c>
      <c r="H18" s="23"/>
      <c r="I18" s="23" t="s">
        <v>26</v>
      </c>
      <c r="J18" s="107"/>
      <c r="K18" s="110"/>
    </row>
    <row r="19" spans="1:11" x14ac:dyDescent="0.35">
      <c r="A19" s="95"/>
      <c r="B19" s="92" t="s">
        <v>291</v>
      </c>
      <c r="C19" s="17" t="s">
        <v>319</v>
      </c>
      <c r="D19" s="20" t="s">
        <v>32</v>
      </c>
      <c r="E19" s="18" t="s">
        <v>44</v>
      </c>
      <c r="F19" s="19">
        <v>54</v>
      </c>
      <c r="G19" s="19">
        <f t="shared" si="2"/>
        <v>6</v>
      </c>
      <c r="H19" s="18" t="s">
        <v>26</v>
      </c>
      <c r="I19" s="18"/>
      <c r="J19" s="105">
        <f>SUM(F19:F21)</f>
        <v>86</v>
      </c>
      <c r="K19" s="108">
        <f>ROUND(J19/45,2)</f>
        <v>1.91</v>
      </c>
    </row>
    <row r="20" spans="1:11" ht="38.5" customHeight="1" x14ac:dyDescent="0.35">
      <c r="A20" s="95"/>
      <c r="B20" s="93"/>
      <c r="C20" s="18" t="s">
        <v>327</v>
      </c>
      <c r="D20" s="18" t="s">
        <v>39</v>
      </c>
      <c r="E20" s="18" t="s">
        <v>44</v>
      </c>
      <c r="F20" s="19">
        <v>14</v>
      </c>
      <c r="G20" s="19">
        <f t="shared" si="2"/>
        <v>1.56</v>
      </c>
      <c r="H20" s="18" t="s">
        <v>26</v>
      </c>
      <c r="I20" s="18"/>
      <c r="J20" s="106"/>
      <c r="K20" s="109"/>
    </row>
    <row r="21" spans="1:11" ht="38.5" customHeight="1" x14ac:dyDescent="0.35">
      <c r="A21" s="95"/>
      <c r="B21" s="94"/>
      <c r="C21" s="45" t="s">
        <v>336</v>
      </c>
      <c r="D21" s="45" t="s">
        <v>337</v>
      </c>
      <c r="E21" s="43" t="s">
        <v>44</v>
      </c>
      <c r="F21" s="44">
        <v>18</v>
      </c>
      <c r="G21" s="19">
        <f t="shared" si="2"/>
        <v>2</v>
      </c>
      <c r="H21" s="18" t="s">
        <v>26</v>
      </c>
      <c r="I21" s="18"/>
      <c r="J21" s="107"/>
      <c r="K21" s="110"/>
    </row>
    <row r="22" spans="1:11" ht="14" customHeight="1" x14ac:dyDescent="0.35">
      <c r="A22" s="96" t="s">
        <v>630</v>
      </c>
      <c r="B22" s="92" t="s">
        <v>33</v>
      </c>
      <c r="C22" s="17" t="s">
        <v>334</v>
      </c>
      <c r="D22" s="18" t="s">
        <v>307</v>
      </c>
      <c r="E22" s="18" t="s">
        <v>44</v>
      </c>
      <c r="F22" s="19">
        <v>9</v>
      </c>
      <c r="G22" s="19">
        <f t="shared" si="2"/>
        <v>1</v>
      </c>
      <c r="H22" s="18"/>
      <c r="I22" s="18"/>
      <c r="J22" s="112">
        <f>SUM(F22:F26)</f>
        <v>113</v>
      </c>
      <c r="K22" s="111">
        <f>ROUND(J22/45,2)</f>
        <v>2.5099999999999998</v>
      </c>
    </row>
    <row r="23" spans="1:11" x14ac:dyDescent="0.35">
      <c r="A23" s="97"/>
      <c r="B23" s="93"/>
      <c r="C23" s="17" t="s">
        <v>324</v>
      </c>
      <c r="D23" s="18" t="s">
        <v>568</v>
      </c>
      <c r="E23" s="18" t="s">
        <v>44</v>
      </c>
      <c r="F23" s="19">
        <v>9</v>
      </c>
      <c r="G23" s="19">
        <f t="shared" si="2"/>
        <v>1</v>
      </c>
      <c r="H23" s="18"/>
      <c r="I23" s="18"/>
      <c r="J23" s="112"/>
      <c r="K23" s="111"/>
    </row>
    <row r="24" spans="1:11" x14ac:dyDescent="0.35">
      <c r="A24" s="97"/>
      <c r="B24" s="93"/>
      <c r="C24" s="17" t="s">
        <v>333</v>
      </c>
      <c r="D24" s="18" t="s">
        <v>332</v>
      </c>
      <c r="E24" s="18"/>
      <c r="F24" s="19">
        <v>9</v>
      </c>
      <c r="G24" s="19">
        <f t="shared" si="2"/>
        <v>1</v>
      </c>
      <c r="H24" s="18"/>
      <c r="I24" s="18"/>
      <c r="J24" s="112"/>
      <c r="K24" s="111"/>
    </row>
    <row r="25" spans="1:11" x14ac:dyDescent="0.35">
      <c r="A25" s="97"/>
      <c r="B25" s="93"/>
      <c r="C25" s="17" t="s">
        <v>325</v>
      </c>
      <c r="D25" s="18" t="s">
        <v>343</v>
      </c>
      <c r="E25" s="18" t="s">
        <v>44</v>
      </c>
      <c r="F25" s="19">
        <v>81</v>
      </c>
      <c r="G25" s="19">
        <f t="shared" si="1"/>
        <v>9</v>
      </c>
      <c r="H25" s="18"/>
      <c r="I25" s="18"/>
      <c r="J25" s="112"/>
      <c r="K25" s="111"/>
    </row>
    <row r="26" spans="1:11" x14ac:dyDescent="0.35">
      <c r="A26" s="97"/>
      <c r="B26" s="94"/>
      <c r="C26" s="17" t="s">
        <v>320</v>
      </c>
      <c r="D26" s="18" t="s">
        <v>27</v>
      </c>
      <c r="E26" s="18" t="s">
        <v>308</v>
      </c>
      <c r="F26" s="19">
        <v>5</v>
      </c>
      <c r="G26" s="19">
        <f t="shared" si="1"/>
        <v>0.56000000000000005</v>
      </c>
      <c r="H26" s="18"/>
      <c r="I26" s="18"/>
      <c r="J26" s="112"/>
      <c r="K26" s="111"/>
    </row>
    <row r="27" spans="1:11" ht="28" x14ac:dyDescent="0.35">
      <c r="A27" s="97"/>
      <c r="B27" s="113" t="s">
        <v>38</v>
      </c>
      <c r="C27" s="17" t="s">
        <v>322</v>
      </c>
      <c r="D27" s="18" t="s">
        <v>36</v>
      </c>
      <c r="E27" s="18" t="s">
        <v>44</v>
      </c>
      <c r="F27" s="19">
        <v>9</v>
      </c>
      <c r="G27" s="19">
        <f>ROUND(F27/9,2)</f>
        <v>1</v>
      </c>
      <c r="H27" s="18" t="s">
        <v>25</v>
      </c>
      <c r="I27" s="18"/>
      <c r="J27" s="112">
        <f>SUM(F27:F30)</f>
        <v>90</v>
      </c>
      <c r="K27" s="111">
        <f>ROUND(J27/45,2)</f>
        <v>2</v>
      </c>
    </row>
    <row r="28" spans="1:11" x14ac:dyDescent="0.35">
      <c r="A28" s="97"/>
      <c r="B28" s="113"/>
      <c r="C28" s="17" t="s">
        <v>323</v>
      </c>
      <c r="D28" s="18" t="s">
        <v>37</v>
      </c>
      <c r="E28" s="18" t="s">
        <v>44</v>
      </c>
      <c r="F28" s="19">
        <v>9</v>
      </c>
      <c r="G28" s="19">
        <f>ROUND(F28/9,2)</f>
        <v>1</v>
      </c>
      <c r="H28" s="18" t="s">
        <v>26</v>
      </c>
      <c r="I28" s="18"/>
      <c r="J28" s="112"/>
      <c r="K28" s="111"/>
    </row>
    <row r="29" spans="1:11" x14ac:dyDescent="0.35">
      <c r="A29" s="97"/>
      <c r="B29" s="113"/>
      <c r="C29" s="18" t="s">
        <v>328</v>
      </c>
      <c r="D29" s="18" t="s">
        <v>309</v>
      </c>
      <c r="E29" s="18" t="s">
        <v>44</v>
      </c>
      <c r="F29" s="19">
        <v>45</v>
      </c>
      <c r="G29" s="19">
        <f t="shared" si="1"/>
        <v>5</v>
      </c>
      <c r="H29" s="18" t="s">
        <v>25</v>
      </c>
      <c r="I29" s="18"/>
      <c r="J29" s="112"/>
      <c r="K29" s="111"/>
    </row>
    <row r="30" spans="1:11" ht="14" customHeight="1" x14ac:dyDescent="0.35">
      <c r="A30" s="98"/>
      <c r="B30" s="113"/>
      <c r="C30" s="70" t="s">
        <v>335</v>
      </c>
      <c r="D30" s="70" t="s">
        <v>16</v>
      </c>
      <c r="E30" s="70" t="s">
        <v>298</v>
      </c>
      <c r="F30" s="73">
        <v>27</v>
      </c>
      <c r="G30" s="23">
        <f t="shared" si="1"/>
        <v>3</v>
      </c>
      <c r="H30" s="23"/>
      <c r="I30" s="23" t="s">
        <v>26</v>
      </c>
      <c r="J30" s="112"/>
      <c r="K30" s="111"/>
    </row>
    <row r="31" spans="1:11" ht="14.5" customHeight="1" x14ac:dyDescent="0.35">
      <c r="A31" s="96" t="s">
        <v>49</v>
      </c>
      <c r="B31" s="88" t="s">
        <v>631</v>
      </c>
      <c r="C31" s="71" t="s">
        <v>40</v>
      </c>
      <c r="D31" s="71" t="s">
        <v>300</v>
      </c>
      <c r="E31" s="71" t="s">
        <v>299</v>
      </c>
      <c r="F31" s="72">
        <v>9</v>
      </c>
      <c r="G31" s="72">
        <f t="shared" si="1"/>
        <v>1</v>
      </c>
      <c r="H31" s="72"/>
      <c r="I31" s="72" t="s">
        <v>26</v>
      </c>
      <c r="J31" s="25">
        <f>F31</f>
        <v>9</v>
      </c>
      <c r="K31" s="26">
        <f>ROUND(J31/45,2)</f>
        <v>0.2</v>
      </c>
    </row>
    <row r="32" spans="1:11" ht="14" customHeight="1" x14ac:dyDescent="0.35">
      <c r="A32" s="97"/>
      <c r="B32" s="89"/>
      <c r="C32" s="18" t="s">
        <v>41</v>
      </c>
      <c r="D32" s="18" t="s">
        <v>42</v>
      </c>
      <c r="E32" s="18" t="s">
        <v>44</v>
      </c>
      <c r="F32" s="19">
        <v>40</v>
      </c>
      <c r="G32" s="19">
        <f t="shared" si="1"/>
        <v>4.4400000000000004</v>
      </c>
      <c r="H32" s="18" t="s">
        <v>26</v>
      </c>
      <c r="I32" s="18"/>
      <c r="J32" s="78">
        <f>F32</f>
        <v>40</v>
      </c>
      <c r="K32" s="79">
        <f>ROUND(J32/45,2)</f>
        <v>0.89</v>
      </c>
    </row>
    <row r="33" spans="1:11" x14ac:dyDescent="0.35">
      <c r="A33" s="97"/>
      <c r="B33" s="89"/>
      <c r="C33" s="18" t="s">
        <v>45</v>
      </c>
      <c r="D33" s="18" t="s">
        <v>46</v>
      </c>
      <c r="E33" s="18" t="s">
        <v>292</v>
      </c>
      <c r="F33" s="19">
        <v>12</v>
      </c>
      <c r="G33" s="24">
        <f>ROUND(F33/9,2)</f>
        <v>1.33</v>
      </c>
      <c r="H33" s="18" t="s">
        <v>25</v>
      </c>
      <c r="I33" s="18"/>
      <c r="J33" s="78">
        <f>F33</f>
        <v>12</v>
      </c>
      <c r="K33" s="79">
        <f>ROUND(J33/45,2)</f>
        <v>0.27</v>
      </c>
    </row>
    <row r="34" spans="1:11" x14ac:dyDescent="0.35">
      <c r="A34" s="97"/>
      <c r="B34" s="89"/>
      <c r="C34" s="18" t="s">
        <v>625</v>
      </c>
      <c r="D34" s="18" t="s">
        <v>625</v>
      </c>
      <c r="E34" s="18" t="s">
        <v>292</v>
      </c>
      <c r="F34" s="24">
        <v>2</v>
      </c>
      <c r="G34" s="24">
        <f>ROUND(F34/9,2)</f>
        <v>0.22</v>
      </c>
      <c r="H34" s="18"/>
      <c r="I34" s="18"/>
      <c r="J34" s="75">
        <f>F34</f>
        <v>2</v>
      </c>
      <c r="K34" s="79">
        <f>ROUND(J34/45,2)</f>
        <v>0.04</v>
      </c>
    </row>
    <row r="35" spans="1:11" ht="14" customHeight="1" x14ac:dyDescent="0.35">
      <c r="A35" s="97"/>
      <c r="B35" s="89"/>
      <c r="C35" s="81"/>
      <c r="D35" s="81"/>
      <c r="E35" s="81"/>
      <c r="F35" s="81"/>
      <c r="G35" s="81"/>
      <c r="H35" s="81"/>
      <c r="I35" s="80" t="s">
        <v>47</v>
      </c>
      <c r="J35" s="28">
        <f>SUM(J2:J34)</f>
        <v>641</v>
      </c>
      <c r="K35" s="28">
        <f>SUM(K2:K34)</f>
        <v>14.239999999999998</v>
      </c>
    </row>
    <row r="36" spans="1:11" x14ac:dyDescent="0.35">
      <c r="A36" s="97"/>
      <c r="B36" s="89"/>
      <c r="C36" s="82" t="s">
        <v>48</v>
      </c>
      <c r="D36" s="83"/>
      <c r="E36" s="83"/>
      <c r="F36" s="83"/>
      <c r="G36" s="83"/>
      <c r="H36" s="83"/>
      <c r="I36" s="83"/>
      <c r="J36" s="83"/>
      <c r="K36" s="83"/>
    </row>
    <row r="37" spans="1:11" x14ac:dyDescent="0.35">
      <c r="A37" s="97"/>
      <c r="B37" s="89"/>
      <c r="C37" s="99" t="s">
        <v>50</v>
      </c>
      <c r="D37" s="18" t="s">
        <v>51</v>
      </c>
      <c r="E37" s="29" t="s">
        <v>30</v>
      </c>
      <c r="F37" s="116"/>
      <c r="G37" s="30"/>
      <c r="H37" s="118"/>
      <c r="I37" s="120"/>
      <c r="J37" s="114"/>
      <c r="K37" s="115"/>
    </row>
    <row r="38" spans="1:11" x14ac:dyDescent="0.35">
      <c r="A38" s="98"/>
      <c r="B38" s="90"/>
      <c r="C38" s="101"/>
      <c r="D38" s="18" t="s">
        <v>52</v>
      </c>
      <c r="E38" s="29" t="s">
        <v>30</v>
      </c>
      <c r="F38" s="117"/>
      <c r="G38" s="31"/>
      <c r="H38" s="119"/>
      <c r="I38" s="121"/>
      <c r="J38" s="114"/>
      <c r="K38" s="115"/>
    </row>
  </sheetData>
  <mergeCells count="32">
    <mergeCell ref="J37:J38"/>
    <mergeCell ref="K37:K38"/>
    <mergeCell ref="C37:C38"/>
    <mergeCell ref="F37:F38"/>
    <mergeCell ref="H37:H38"/>
    <mergeCell ref="I37:I38"/>
    <mergeCell ref="E2:E4"/>
    <mergeCell ref="F2:F4"/>
    <mergeCell ref="J19:J21"/>
    <mergeCell ref="K19:K21"/>
    <mergeCell ref="K27:K30"/>
    <mergeCell ref="J2:J5"/>
    <mergeCell ref="K2:K5"/>
    <mergeCell ref="K14:K18"/>
    <mergeCell ref="J22:J26"/>
    <mergeCell ref="K22:K26"/>
    <mergeCell ref="K6:K13"/>
    <mergeCell ref="J14:J18"/>
    <mergeCell ref="J27:J30"/>
    <mergeCell ref="J6:J13"/>
    <mergeCell ref="B31:B38"/>
    <mergeCell ref="A2:A5"/>
    <mergeCell ref="A6:A13"/>
    <mergeCell ref="A14:A21"/>
    <mergeCell ref="A22:A30"/>
    <mergeCell ref="A31:A38"/>
    <mergeCell ref="B2:B5"/>
    <mergeCell ref="B14:B18"/>
    <mergeCell ref="B22:B26"/>
    <mergeCell ref="B19:B21"/>
    <mergeCell ref="B6:B13"/>
    <mergeCell ref="B27:B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288</v>
      </c>
      <c r="B1" s="38" t="s">
        <v>53</v>
      </c>
    </row>
    <row r="2" spans="1:2" ht="140" x14ac:dyDescent="0.3">
      <c r="A2" s="34" t="s">
        <v>613</v>
      </c>
      <c r="B2" s="20" t="s">
        <v>612</v>
      </c>
    </row>
    <row r="3" spans="1:2" ht="280" x14ac:dyDescent="0.3">
      <c r="A3" s="34" t="s">
        <v>289</v>
      </c>
      <c r="B3" s="20" t="s">
        <v>611</v>
      </c>
    </row>
    <row r="4" spans="1:2" ht="168" x14ac:dyDescent="0.3">
      <c r="A4" s="34" t="s">
        <v>290</v>
      </c>
      <c r="B4" s="20" t="s">
        <v>340</v>
      </c>
    </row>
    <row r="5" spans="1:2" ht="98" x14ac:dyDescent="0.3">
      <c r="A5" s="35" t="s">
        <v>291</v>
      </c>
      <c r="B5" s="18" t="s">
        <v>341</v>
      </c>
    </row>
    <row r="6" spans="1:2" ht="168" x14ac:dyDescent="0.3">
      <c r="A6" s="35" t="s">
        <v>33</v>
      </c>
      <c r="B6" s="36" t="s">
        <v>624</v>
      </c>
    </row>
    <row r="7" spans="1:2" ht="140" x14ac:dyDescent="0.3">
      <c r="A7" s="35" t="s">
        <v>38</v>
      </c>
      <c r="B7" s="40" t="s">
        <v>342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18</v>
      </c>
      <c r="B1" s="47" t="s">
        <v>54</v>
      </c>
      <c r="C1" s="47" t="s">
        <v>55</v>
      </c>
    </row>
    <row r="2" spans="1:3" ht="42" x14ac:dyDescent="0.35">
      <c r="A2" s="124" t="s">
        <v>614</v>
      </c>
      <c r="B2" s="18" t="s">
        <v>411</v>
      </c>
      <c r="C2" s="18" t="s">
        <v>412</v>
      </c>
    </row>
    <row r="3" spans="1:3" ht="28" x14ac:dyDescent="0.35">
      <c r="A3" s="125"/>
      <c r="B3" s="18" t="s">
        <v>413</v>
      </c>
      <c r="C3" s="18" t="s">
        <v>414</v>
      </c>
    </row>
    <row r="4" spans="1:3" ht="42" x14ac:dyDescent="0.35">
      <c r="A4" s="125"/>
      <c r="B4" s="18" t="s">
        <v>415</v>
      </c>
      <c r="C4" s="18" t="s">
        <v>416</v>
      </c>
    </row>
    <row r="5" spans="1:3" ht="28" x14ac:dyDescent="0.35">
      <c r="A5" s="125"/>
      <c r="B5" s="18" t="s">
        <v>417</v>
      </c>
      <c r="C5" s="18" t="s">
        <v>418</v>
      </c>
    </row>
    <row r="6" spans="1:3" ht="42" x14ac:dyDescent="0.35">
      <c r="A6" s="125"/>
      <c r="B6" s="18" t="s">
        <v>419</v>
      </c>
      <c r="C6" s="18" t="s">
        <v>420</v>
      </c>
    </row>
    <row r="7" spans="1:3" ht="28" x14ac:dyDescent="0.35">
      <c r="A7" s="125"/>
      <c r="B7" s="18" t="s">
        <v>421</v>
      </c>
      <c r="C7" s="18" t="s">
        <v>422</v>
      </c>
    </row>
    <row r="8" spans="1:3" x14ac:dyDescent="0.35">
      <c r="A8" s="125"/>
      <c r="B8" s="18" t="s">
        <v>423</v>
      </c>
      <c r="C8" s="18" t="s">
        <v>424</v>
      </c>
    </row>
    <row r="9" spans="1:3" x14ac:dyDescent="0.35">
      <c r="A9" s="125"/>
      <c r="B9" s="18" t="s">
        <v>425</v>
      </c>
      <c r="C9" s="18" t="s">
        <v>426</v>
      </c>
    </row>
    <row r="10" spans="1:3" ht="28" x14ac:dyDescent="0.35">
      <c r="A10" s="126"/>
      <c r="B10" s="18" t="s">
        <v>427</v>
      </c>
      <c r="C10" s="18" t="s">
        <v>428</v>
      </c>
    </row>
    <row r="11" spans="1:3" ht="42" x14ac:dyDescent="0.35">
      <c r="A11" s="122" t="s">
        <v>615</v>
      </c>
      <c r="B11" s="18" t="s">
        <v>411</v>
      </c>
      <c r="C11" s="18" t="s">
        <v>429</v>
      </c>
    </row>
    <row r="12" spans="1:3" ht="42" x14ac:dyDescent="0.35">
      <c r="A12" s="122"/>
      <c r="B12" s="18" t="s">
        <v>430</v>
      </c>
      <c r="C12" s="18" t="s">
        <v>431</v>
      </c>
    </row>
    <row r="13" spans="1:3" ht="28" x14ac:dyDescent="0.35">
      <c r="A13" s="122"/>
      <c r="B13" s="18" t="s">
        <v>432</v>
      </c>
      <c r="C13" s="18" t="s">
        <v>433</v>
      </c>
    </row>
    <row r="14" spans="1:3" ht="28" x14ac:dyDescent="0.35">
      <c r="A14" s="122"/>
      <c r="B14" s="18" t="s">
        <v>434</v>
      </c>
      <c r="C14" s="18" t="s">
        <v>435</v>
      </c>
    </row>
    <row r="15" spans="1:3" x14ac:dyDescent="0.35">
      <c r="A15" s="122"/>
      <c r="B15" s="18" t="s">
        <v>436</v>
      </c>
      <c r="C15" s="18" t="s">
        <v>437</v>
      </c>
    </row>
    <row r="16" spans="1:3" ht="28" x14ac:dyDescent="0.35">
      <c r="A16" s="122" t="s">
        <v>616</v>
      </c>
      <c r="B16" s="17" t="s">
        <v>438</v>
      </c>
      <c r="C16" s="18" t="s">
        <v>439</v>
      </c>
    </row>
    <row r="17" spans="1:3" x14ac:dyDescent="0.35">
      <c r="A17" s="122"/>
      <c r="B17" s="17" t="s">
        <v>440</v>
      </c>
      <c r="C17" s="18" t="s">
        <v>441</v>
      </c>
    </row>
    <row r="18" spans="1:3" x14ac:dyDescent="0.35">
      <c r="A18" s="122"/>
      <c r="B18" s="17" t="s">
        <v>442</v>
      </c>
      <c r="C18" s="18" t="s">
        <v>443</v>
      </c>
    </row>
    <row r="19" spans="1:3" ht="28" x14ac:dyDescent="0.35">
      <c r="A19" s="122"/>
      <c r="B19" s="17" t="s">
        <v>444</v>
      </c>
      <c r="C19" s="18" t="s">
        <v>445</v>
      </c>
    </row>
    <row r="20" spans="1:3" ht="28" x14ac:dyDescent="0.35">
      <c r="A20" s="122"/>
      <c r="B20" s="17" t="s">
        <v>446</v>
      </c>
      <c r="C20" s="18" t="s">
        <v>447</v>
      </c>
    </row>
    <row r="21" spans="1:3" x14ac:dyDescent="0.35">
      <c r="A21" s="122"/>
      <c r="B21" s="18" t="s">
        <v>448</v>
      </c>
      <c r="C21" s="18" t="s">
        <v>449</v>
      </c>
    </row>
    <row r="22" spans="1:3" ht="28" x14ac:dyDescent="0.35">
      <c r="A22" s="122"/>
      <c r="B22" s="18" t="s">
        <v>450</v>
      </c>
      <c r="C22" s="18" t="s">
        <v>451</v>
      </c>
    </row>
    <row r="23" spans="1:3" ht="28" x14ac:dyDescent="0.35">
      <c r="A23" s="122"/>
      <c r="B23" s="18" t="s">
        <v>452</v>
      </c>
      <c r="C23" s="18" t="s">
        <v>453</v>
      </c>
    </row>
    <row r="24" spans="1:3" x14ac:dyDescent="0.35">
      <c r="A24" s="122"/>
      <c r="B24" s="18" t="s">
        <v>454</v>
      </c>
      <c r="C24" s="18" t="s">
        <v>455</v>
      </c>
    </row>
    <row r="25" spans="1:3" ht="28" x14ac:dyDescent="0.35">
      <c r="A25" s="122"/>
      <c r="B25" s="18" t="s">
        <v>456</v>
      </c>
      <c r="C25" s="18" t="s">
        <v>457</v>
      </c>
    </row>
    <row r="26" spans="1:3" ht="28" x14ac:dyDescent="0.35">
      <c r="A26" s="122"/>
      <c r="B26" s="18" t="s">
        <v>458</v>
      </c>
      <c r="C26" s="18" t="s">
        <v>459</v>
      </c>
    </row>
    <row r="27" spans="1:3" ht="28" x14ac:dyDescent="0.35">
      <c r="A27" s="123" t="s">
        <v>617</v>
      </c>
      <c r="B27" s="18" t="s">
        <v>460</v>
      </c>
      <c r="C27" s="18" t="s">
        <v>461</v>
      </c>
    </row>
    <row r="28" spans="1:3" ht="42" x14ac:dyDescent="0.35">
      <c r="A28" s="123"/>
      <c r="B28" s="18" t="s">
        <v>462</v>
      </c>
      <c r="C28" s="18" t="s">
        <v>463</v>
      </c>
    </row>
    <row r="29" spans="1:3" ht="42" x14ac:dyDescent="0.35">
      <c r="A29" s="123"/>
      <c r="B29" s="18" t="s">
        <v>464</v>
      </c>
      <c r="C29" s="18" t="s">
        <v>465</v>
      </c>
    </row>
    <row r="30" spans="1:3" ht="42" x14ac:dyDescent="0.35">
      <c r="A30" s="123"/>
      <c r="B30" s="18" t="s">
        <v>466</v>
      </c>
      <c r="C30" s="18" t="s">
        <v>467</v>
      </c>
    </row>
    <row r="31" spans="1:3" ht="42" x14ac:dyDescent="0.35">
      <c r="A31" s="123"/>
      <c r="B31" s="18" t="s">
        <v>468</v>
      </c>
      <c r="C31" s="18" t="s">
        <v>469</v>
      </c>
    </row>
    <row r="32" spans="1:3" ht="28" x14ac:dyDescent="0.35">
      <c r="A32" s="123"/>
      <c r="B32" s="18" t="s">
        <v>470</v>
      </c>
      <c r="C32" s="18" t="s">
        <v>471</v>
      </c>
    </row>
    <row r="33" spans="1:3" ht="42" x14ac:dyDescent="0.35">
      <c r="A33" s="123"/>
      <c r="B33" s="18" t="s">
        <v>472</v>
      </c>
      <c r="C33" s="18" t="s">
        <v>473</v>
      </c>
    </row>
    <row r="34" spans="1:3" ht="42" x14ac:dyDescent="0.35">
      <c r="A34" s="123"/>
      <c r="B34" s="18" t="s">
        <v>474</v>
      </c>
      <c r="C34" s="18" t="s">
        <v>475</v>
      </c>
    </row>
    <row r="35" spans="1:3" ht="70" x14ac:dyDescent="0.35">
      <c r="A35" s="123" t="s">
        <v>618</v>
      </c>
      <c r="B35" s="18" t="s">
        <v>476</v>
      </c>
      <c r="C35" s="18" t="s">
        <v>477</v>
      </c>
    </row>
    <row r="36" spans="1:3" ht="28" x14ac:dyDescent="0.35">
      <c r="A36" s="123"/>
      <c r="B36" s="18" t="s">
        <v>478</v>
      </c>
      <c r="C36" s="18" t="s">
        <v>479</v>
      </c>
    </row>
    <row r="37" spans="1:3" ht="28" x14ac:dyDescent="0.35">
      <c r="A37" s="123"/>
      <c r="B37" s="18" t="s">
        <v>480</v>
      </c>
      <c r="C37" s="18" t="s">
        <v>481</v>
      </c>
    </row>
    <row r="38" spans="1:3" ht="28" x14ac:dyDescent="0.35">
      <c r="A38" s="123"/>
      <c r="B38" s="18" t="s">
        <v>482</v>
      </c>
      <c r="C38" s="18" t="s">
        <v>483</v>
      </c>
    </row>
    <row r="39" spans="1:3" ht="56" x14ac:dyDescent="0.35">
      <c r="A39" s="123"/>
      <c r="B39" s="18" t="s">
        <v>484</v>
      </c>
      <c r="C39" s="18" t="s">
        <v>485</v>
      </c>
    </row>
    <row r="40" spans="1:3" ht="42" x14ac:dyDescent="0.35">
      <c r="A40" s="123"/>
      <c r="B40" s="18" t="s">
        <v>486</v>
      </c>
      <c r="C40" s="18" t="s">
        <v>487</v>
      </c>
    </row>
    <row r="41" spans="1:3" ht="28" x14ac:dyDescent="0.35">
      <c r="A41" s="123"/>
      <c r="B41" s="18" t="s">
        <v>488</v>
      </c>
      <c r="C41" s="18" t="s">
        <v>489</v>
      </c>
    </row>
    <row r="42" spans="1:3" ht="42" x14ac:dyDescent="0.35">
      <c r="A42" s="123"/>
      <c r="B42" s="18" t="s">
        <v>490</v>
      </c>
      <c r="C42" s="18" t="s">
        <v>491</v>
      </c>
    </row>
    <row r="43" spans="1:3" ht="84" x14ac:dyDescent="0.35">
      <c r="A43" s="123"/>
      <c r="B43" s="27" t="s">
        <v>492</v>
      </c>
      <c r="C43" s="27" t="s">
        <v>493</v>
      </c>
    </row>
    <row r="44" spans="1:3" ht="42" x14ac:dyDescent="0.35">
      <c r="A44" s="123"/>
      <c r="B44" s="27" t="s">
        <v>494</v>
      </c>
      <c r="C44" s="27" t="s">
        <v>495</v>
      </c>
    </row>
    <row r="45" spans="1:3" ht="28" x14ac:dyDescent="0.35">
      <c r="A45" s="123"/>
      <c r="B45" s="27" t="s">
        <v>496</v>
      </c>
      <c r="C45" s="27" t="s">
        <v>497</v>
      </c>
    </row>
    <row r="46" spans="1:3" ht="28" x14ac:dyDescent="0.35">
      <c r="A46" s="123"/>
      <c r="B46" s="18" t="s">
        <v>498</v>
      </c>
      <c r="C46" s="18" t="s">
        <v>499</v>
      </c>
    </row>
    <row r="47" spans="1:3" ht="84" x14ac:dyDescent="0.35">
      <c r="A47" s="123"/>
      <c r="B47" s="18" t="s">
        <v>500</v>
      </c>
      <c r="C47" s="18" t="s">
        <v>501</v>
      </c>
    </row>
    <row r="48" spans="1:3" ht="140" x14ac:dyDescent="0.35">
      <c r="A48" s="123"/>
      <c r="B48" s="20" t="s">
        <v>503</v>
      </c>
      <c r="C48" s="34" t="s">
        <v>502</v>
      </c>
    </row>
    <row r="49" spans="1:3" ht="56" x14ac:dyDescent="0.35">
      <c r="A49" s="123"/>
      <c r="B49" s="17" t="s">
        <v>572</v>
      </c>
      <c r="C49" s="18" t="s">
        <v>573</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workbookViewId="0">
      <pane ySplit="1" topLeftCell="A53" activePane="bottomLeft" state="frozen"/>
      <selection pane="bottomLeft" activeCell="F23" sqref="F23"/>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18</v>
      </c>
      <c r="B1" s="47" t="s">
        <v>54</v>
      </c>
      <c r="C1" s="47" t="s">
        <v>55</v>
      </c>
    </row>
    <row r="2" spans="1:3" s="42" customFormat="1" ht="28" x14ac:dyDescent="0.35">
      <c r="A2" s="99" t="s">
        <v>24</v>
      </c>
      <c r="B2" s="46" t="s">
        <v>56</v>
      </c>
      <c r="C2" s="46" t="s">
        <v>57</v>
      </c>
    </row>
    <row r="3" spans="1:3" s="42" customFormat="1" ht="42" x14ac:dyDescent="0.35">
      <c r="A3" s="100"/>
      <c r="B3" s="46" t="s">
        <v>58</v>
      </c>
      <c r="C3" s="46" t="s">
        <v>59</v>
      </c>
    </row>
    <row r="4" spans="1:3" s="42" customFormat="1" ht="70" x14ac:dyDescent="0.35">
      <c r="A4" s="100"/>
      <c r="B4" s="46" t="s">
        <v>60</v>
      </c>
      <c r="C4" s="46" t="s">
        <v>61</v>
      </c>
    </row>
    <row r="5" spans="1:3" s="42" customFormat="1" ht="42" x14ac:dyDescent="0.35">
      <c r="A5" s="100"/>
      <c r="B5" s="46" t="s">
        <v>62</v>
      </c>
      <c r="C5" s="46" t="s">
        <v>63</v>
      </c>
    </row>
    <row r="6" spans="1:3" s="42" customFormat="1" ht="28" x14ac:dyDescent="0.35">
      <c r="A6" s="100"/>
      <c r="B6" s="46" t="s">
        <v>64</v>
      </c>
      <c r="C6" s="46" t="s">
        <v>65</v>
      </c>
    </row>
    <row r="7" spans="1:3" s="42" customFormat="1" ht="28" x14ac:dyDescent="0.35">
      <c r="A7" s="101"/>
      <c r="B7" s="46" t="s">
        <v>66</v>
      </c>
      <c r="C7" s="46" t="s">
        <v>67</v>
      </c>
    </row>
    <row r="8" spans="1:3" s="42" customFormat="1" ht="56" x14ac:dyDescent="0.35">
      <c r="A8" s="99" t="s">
        <v>330</v>
      </c>
      <c r="B8" s="46" t="s">
        <v>356</v>
      </c>
      <c r="C8" s="46" t="s">
        <v>357</v>
      </c>
    </row>
    <row r="9" spans="1:3" s="42" customFormat="1" ht="28" x14ac:dyDescent="0.35">
      <c r="A9" s="100"/>
      <c r="B9" s="46" t="s">
        <v>358</v>
      </c>
      <c r="C9" s="46" t="s">
        <v>359</v>
      </c>
    </row>
    <row r="10" spans="1:3" s="42" customFormat="1" ht="56" x14ac:dyDescent="0.35">
      <c r="A10" s="100"/>
      <c r="B10" s="46" t="s">
        <v>360</v>
      </c>
      <c r="C10" s="46" t="s">
        <v>361</v>
      </c>
    </row>
    <row r="11" spans="1:3" s="42" customFormat="1" ht="28" x14ac:dyDescent="0.35">
      <c r="A11" s="100"/>
      <c r="B11" s="46" t="s">
        <v>362</v>
      </c>
      <c r="C11" s="46" t="s">
        <v>363</v>
      </c>
    </row>
    <row r="12" spans="1:3" s="42" customFormat="1" ht="28" x14ac:dyDescent="0.35">
      <c r="A12" s="100"/>
      <c r="B12" s="46" t="s">
        <v>364</v>
      </c>
      <c r="C12" s="46" t="s">
        <v>365</v>
      </c>
    </row>
    <row r="13" spans="1:3" s="42" customFormat="1" ht="42" x14ac:dyDescent="0.35">
      <c r="A13" s="100"/>
      <c r="B13" s="46" t="s">
        <v>366</v>
      </c>
      <c r="C13" s="46" t="s">
        <v>367</v>
      </c>
    </row>
    <row r="14" spans="1:3" s="42" customFormat="1" ht="56" x14ac:dyDescent="0.35">
      <c r="A14" s="101"/>
      <c r="B14" s="46" t="s">
        <v>574</v>
      </c>
      <c r="C14" s="46" t="s">
        <v>575</v>
      </c>
    </row>
    <row r="15" spans="1:3" s="42" customFormat="1" ht="42" x14ac:dyDescent="0.35">
      <c r="A15" s="99" t="s">
        <v>303</v>
      </c>
      <c r="B15" s="18" t="s">
        <v>100</v>
      </c>
      <c r="C15" s="18" t="s">
        <v>368</v>
      </c>
    </row>
    <row r="16" spans="1:3" s="42" customFormat="1" ht="42" x14ac:dyDescent="0.35">
      <c r="A16" s="100"/>
      <c r="B16" s="18" t="s">
        <v>101</v>
      </c>
      <c r="C16" s="18" t="s">
        <v>369</v>
      </c>
    </row>
    <row r="17" spans="1:3" s="42" customFormat="1" ht="56" x14ac:dyDescent="0.35">
      <c r="A17" s="100"/>
      <c r="B17" s="18" t="s">
        <v>102</v>
      </c>
      <c r="C17" s="18" t="s">
        <v>370</v>
      </c>
    </row>
    <row r="18" spans="1:3" s="42" customFormat="1" ht="84" x14ac:dyDescent="0.35">
      <c r="A18" s="100"/>
      <c r="B18" s="18" t="s">
        <v>103</v>
      </c>
      <c r="C18" s="18" t="s">
        <v>371</v>
      </c>
    </row>
    <row r="19" spans="1:3" s="42" customFormat="1" ht="70" x14ac:dyDescent="0.35">
      <c r="A19" s="100"/>
      <c r="B19" s="18" t="s">
        <v>104</v>
      </c>
      <c r="C19" s="18" t="s">
        <v>372</v>
      </c>
    </row>
    <row r="20" spans="1:3" s="42" customFormat="1" ht="84" x14ac:dyDescent="0.35">
      <c r="A20" s="100"/>
      <c r="B20" s="18" t="s">
        <v>105</v>
      </c>
      <c r="C20" s="18" t="s">
        <v>373</v>
      </c>
    </row>
    <row r="21" spans="1:3" s="42" customFormat="1" ht="70" x14ac:dyDescent="0.35">
      <c r="A21" s="101"/>
      <c r="B21" s="18" t="s">
        <v>106</v>
      </c>
      <c r="C21" s="18" t="s">
        <v>374</v>
      </c>
    </row>
    <row r="22" spans="1:3" ht="42" x14ac:dyDescent="0.3">
      <c r="A22" s="127" t="s">
        <v>304</v>
      </c>
      <c r="B22" s="18" t="s">
        <v>506</v>
      </c>
      <c r="C22" s="18" t="s">
        <v>507</v>
      </c>
    </row>
    <row r="23" spans="1:3" ht="56" x14ac:dyDescent="0.3">
      <c r="A23" s="127"/>
      <c r="B23" s="18" t="s">
        <v>508</v>
      </c>
      <c r="C23" s="18" t="s">
        <v>509</v>
      </c>
    </row>
    <row r="24" spans="1:3" ht="42" x14ac:dyDescent="0.3">
      <c r="A24" s="127"/>
      <c r="B24" s="18" t="s">
        <v>510</v>
      </c>
      <c r="C24" s="18" t="s">
        <v>511</v>
      </c>
    </row>
    <row r="25" spans="1:3" ht="56" x14ac:dyDescent="0.3">
      <c r="A25" s="127"/>
      <c r="B25" s="18" t="s">
        <v>512</v>
      </c>
      <c r="C25" s="18" t="s">
        <v>513</v>
      </c>
    </row>
    <row r="26" spans="1:3" ht="28" x14ac:dyDescent="0.3">
      <c r="A26" s="127"/>
      <c r="B26" s="18" t="s">
        <v>514</v>
      </c>
      <c r="C26" s="18" t="s">
        <v>515</v>
      </c>
    </row>
    <row r="27" spans="1:3" ht="42" x14ac:dyDescent="0.3">
      <c r="A27" s="127"/>
      <c r="B27" s="18" t="s">
        <v>516</v>
      </c>
      <c r="C27" s="18" t="s">
        <v>517</v>
      </c>
    </row>
    <row r="28" spans="1:3" ht="56" x14ac:dyDescent="0.3">
      <c r="A28" s="127"/>
      <c r="B28" s="18" t="s">
        <v>518</v>
      </c>
      <c r="C28" s="18" t="s">
        <v>519</v>
      </c>
    </row>
    <row r="29" spans="1:3" ht="98" x14ac:dyDescent="0.3">
      <c r="A29" s="99" t="s">
        <v>305</v>
      </c>
      <c r="B29" s="18" t="s">
        <v>520</v>
      </c>
      <c r="C29" s="18" t="s">
        <v>521</v>
      </c>
    </row>
    <row r="30" spans="1:3" ht="42" x14ac:dyDescent="0.3">
      <c r="A30" s="100"/>
      <c r="B30" s="18" t="s">
        <v>522</v>
      </c>
      <c r="C30" s="18" t="s">
        <v>523</v>
      </c>
    </row>
    <row r="31" spans="1:3" ht="56" x14ac:dyDescent="0.3">
      <c r="A31" s="100"/>
      <c r="B31" s="18" t="s">
        <v>524</v>
      </c>
      <c r="C31" s="18" t="s">
        <v>525</v>
      </c>
    </row>
    <row r="32" spans="1:3" ht="70" x14ac:dyDescent="0.3">
      <c r="A32" s="100"/>
      <c r="B32" s="18" t="s">
        <v>526</v>
      </c>
      <c r="C32" s="18" t="s">
        <v>527</v>
      </c>
    </row>
    <row r="33" spans="1:3" ht="98" x14ac:dyDescent="0.3">
      <c r="A33" s="100"/>
      <c r="B33" s="18" t="s">
        <v>528</v>
      </c>
      <c r="C33" s="18" t="s">
        <v>529</v>
      </c>
    </row>
    <row r="34" spans="1:3" ht="56" x14ac:dyDescent="0.3">
      <c r="A34" s="101"/>
      <c r="B34" s="18" t="s">
        <v>530</v>
      </c>
      <c r="C34" s="18" t="s">
        <v>531</v>
      </c>
    </row>
    <row r="35" spans="1:3" ht="56" x14ac:dyDescent="0.3">
      <c r="A35" s="127" t="s">
        <v>28</v>
      </c>
      <c r="B35" s="17" t="s">
        <v>68</v>
      </c>
      <c r="C35" s="17" t="s">
        <v>69</v>
      </c>
    </row>
    <row r="36" spans="1:3" ht="56" x14ac:dyDescent="0.3">
      <c r="A36" s="127"/>
      <c r="B36" s="17" t="s">
        <v>70</v>
      </c>
      <c r="C36" s="17" t="s">
        <v>71</v>
      </c>
    </row>
    <row r="37" spans="1:3" ht="42" x14ac:dyDescent="0.3">
      <c r="A37" s="127"/>
      <c r="B37" s="17" t="s">
        <v>72</v>
      </c>
      <c r="C37" s="17" t="s">
        <v>73</v>
      </c>
    </row>
    <row r="38" spans="1:3" ht="56" x14ac:dyDescent="0.3">
      <c r="A38" s="127"/>
      <c r="B38" s="17" t="s">
        <v>74</v>
      </c>
      <c r="C38" s="17" t="s">
        <v>75</v>
      </c>
    </row>
    <row r="39" spans="1:3" ht="42" x14ac:dyDescent="0.3">
      <c r="A39" s="127"/>
      <c r="B39" s="17" t="s">
        <v>76</v>
      </c>
      <c r="C39" s="17" t="s">
        <v>77</v>
      </c>
    </row>
    <row r="40" spans="1:3" ht="42" x14ac:dyDescent="0.3">
      <c r="A40" s="127"/>
      <c r="B40" s="49" t="s">
        <v>78</v>
      </c>
      <c r="C40" s="49" t="s">
        <v>79</v>
      </c>
    </row>
    <row r="41" spans="1:3" ht="42" x14ac:dyDescent="0.3">
      <c r="A41" s="127"/>
      <c r="B41" s="49" t="s">
        <v>80</v>
      </c>
      <c r="C41" s="49" t="s">
        <v>81</v>
      </c>
    </row>
    <row r="42" spans="1:3" ht="56" x14ac:dyDescent="0.3">
      <c r="A42" s="127"/>
      <c r="B42" s="49" t="s">
        <v>82</v>
      </c>
      <c r="C42" s="49" t="s">
        <v>83</v>
      </c>
    </row>
    <row r="43" spans="1:3" ht="84" x14ac:dyDescent="0.3">
      <c r="A43" s="127"/>
      <c r="B43" s="49" t="s">
        <v>84</v>
      </c>
      <c r="C43" s="49" t="s">
        <v>85</v>
      </c>
    </row>
    <row r="44" spans="1:3" ht="42" x14ac:dyDescent="0.3">
      <c r="A44" s="128" t="s">
        <v>29</v>
      </c>
      <c r="B44" s="49" t="s">
        <v>114</v>
      </c>
      <c r="C44" s="49" t="s">
        <v>115</v>
      </c>
    </row>
    <row r="45" spans="1:3" ht="42" x14ac:dyDescent="0.3">
      <c r="A45" s="129"/>
      <c r="B45" s="49" t="s">
        <v>116</v>
      </c>
      <c r="C45" s="49" t="s">
        <v>117</v>
      </c>
    </row>
    <row r="46" spans="1:3" ht="56" x14ac:dyDescent="0.3">
      <c r="A46" s="129"/>
      <c r="B46" s="49" t="s">
        <v>118</v>
      </c>
      <c r="C46" s="49" t="s">
        <v>119</v>
      </c>
    </row>
    <row r="47" spans="1:3" ht="56" x14ac:dyDescent="0.3">
      <c r="A47" s="129"/>
      <c r="B47" s="49" t="s">
        <v>120</v>
      </c>
      <c r="C47" s="49" t="s">
        <v>121</v>
      </c>
    </row>
    <row r="48" spans="1:3" ht="42" x14ac:dyDescent="0.3">
      <c r="A48" s="129"/>
      <c r="B48" s="49" t="s">
        <v>122</v>
      </c>
      <c r="C48" s="36" t="s">
        <v>123</v>
      </c>
    </row>
    <row r="49" spans="1:3" ht="42" x14ac:dyDescent="0.3">
      <c r="A49" s="129"/>
      <c r="B49" s="49" t="s">
        <v>124</v>
      </c>
      <c r="C49" s="49" t="s">
        <v>125</v>
      </c>
    </row>
    <row r="50" spans="1:3" ht="28" x14ac:dyDescent="0.3">
      <c r="A50" s="129"/>
      <c r="B50" s="49" t="s">
        <v>126</v>
      </c>
      <c r="C50" s="36" t="s">
        <v>127</v>
      </c>
    </row>
    <row r="51" spans="1:3" ht="42" x14ac:dyDescent="0.3">
      <c r="A51" s="129"/>
      <c r="B51" s="49" t="s">
        <v>128</v>
      </c>
      <c r="C51" s="49" t="s">
        <v>129</v>
      </c>
    </row>
    <row r="52" spans="1:3" ht="56" x14ac:dyDescent="0.3">
      <c r="A52" s="129"/>
      <c r="B52" s="64" t="s">
        <v>130</v>
      </c>
      <c r="C52" s="49" t="s">
        <v>131</v>
      </c>
    </row>
    <row r="53" spans="1:3" ht="56" x14ac:dyDescent="0.3">
      <c r="A53" s="129"/>
      <c r="B53" s="64" t="s">
        <v>132</v>
      </c>
      <c r="C53" s="49" t="s">
        <v>133</v>
      </c>
    </row>
    <row r="54" spans="1:3" ht="56" x14ac:dyDescent="0.3">
      <c r="A54" s="130"/>
      <c r="B54" s="49" t="s">
        <v>134</v>
      </c>
      <c r="C54" s="49" t="s">
        <v>505</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18</v>
      </c>
      <c r="B1" s="41" t="s">
        <v>54</v>
      </c>
      <c r="C1" s="41" t="s">
        <v>55</v>
      </c>
    </row>
    <row r="2" spans="1:3" ht="56" x14ac:dyDescent="0.35">
      <c r="A2" s="99" t="s">
        <v>135</v>
      </c>
      <c r="B2" s="17" t="s">
        <v>136</v>
      </c>
      <c r="C2" s="17" t="s">
        <v>137</v>
      </c>
    </row>
    <row r="3" spans="1:3" ht="42" x14ac:dyDescent="0.35">
      <c r="A3" s="100"/>
      <c r="B3" s="17" t="s">
        <v>138</v>
      </c>
      <c r="C3" s="17" t="s">
        <v>139</v>
      </c>
    </row>
    <row r="4" spans="1:3" ht="56" x14ac:dyDescent="0.35">
      <c r="A4" s="100"/>
      <c r="B4" s="17" t="s">
        <v>140</v>
      </c>
      <c r="C4" s="17" t="s">
        <v>141</v>
      </c>
    </row>
    <row r="5" spans="1:3" ht="56" x14ac:dyDescent="0.35">
      <c r="A5" s="100"/>
      <c r="B5" s="17" t="s">
        <v>142</v>
      </c>
      <c r="C5" s="18" t="s">
        <v>143</v>
      </c>
    </row>
    <row r="6" spans="1:3" ht="56" x14ac:dyDescent="0.35">
      <c r="A6" s="100"/>
      <c r="B6" s="17" t="s">
        <v>144</v>
      </c>
      <c r="C6" s="18" t="s">
        <v>145</v>
      </c>
    </row>
    <row r="7" spans="1:3" ht="42" x14ac:dyDescent="0.35">
      <c r="A7" s="100"/>
      <c r="B7" s="17" t="s">
        <v>146</v>
      </c>
      <c r="C7" s="18" t="s">
        <v>147</v>
      </c>
    </row>
    <row r="8" spans="1:3" ht="56" x14ac:dyDescent="0.35">
      <c r="A8" s="100"/>
      <c r="B8" s="17" t="s">
        <v>148</v>
      </c>
      <c r="C8" s="18" t="s">
        <v>149</v>
      </c>
    </row>
    <row r="9" spans="1:3" ht="42" x14ac:dyDescent="0.35">
      <c r="A9" s="100"/>
      <c r="B9" s="17" t="s">
        <v>150</v>
      </c>
      <c r="C9" s="18" t="s">
        <v>151</v>
      </c>
    </row>
    <row r="10" spans="1:3" ht="56" x14ac:dyDescent="0.35">
      <c r="A10" s="100"/>
      <c r="B10" s="17" t="s">
        <v>152</v>
      </c>
      <c r="C10" s="18" t="s">
        <v>153</v>
      </c>
    </row>
    <row r="11" spans="1:3" ht="42" x14ac:dyDescent="0.35">
      <c r="A11" s="100"/>
      <c r="B11" s="17" t="s">
        <v>154</v>
      </c>
      <c r="C11" s="18" t="s">
        <v>155</v>
      </c>
    </row>
    <row r="12" spans="1:3" ht="56" x14ac:dyDescent="0.35">
      <c r="A12" s="101"/>
      <c r="B12" s="17" t="s">
        <v>156</v>
      </c>
      <c r="C12" s="18" t="s">
        <v>157</v>
      </c>
    </row>
    <row r="13" spans="1:3" ht="28" x14ac:dyDescent="0.35">
      <c r="A13" s="99" t="s">
        <v>107</v>
      </c>
      <c r="B13" s="17" t="s">
        <v>108</v>
      </c>
      <c r="C13" s="17" t="s">
        <v>109</v>
      </c>
    </row>
    <row r="14" spans="1:3" ht="42" x14ac:dyDescent="0.35">
      <c r="A14" s="100"/>
      <c r="B14" s="17" t="s">
        <v>110</v>
      </c>
      <c r="C14" s="17" t="s">
        <v>111</v>
      </c>
    </row>
    <row r="15" spans="1:3" ht="28" x14ac:dyDescent="0.35">
      <c r="A15" s="101"/>
      <c r="B15" s="17" t="s">
        <v>112</v>
      </c>
      <c r="C15" s="17" t="s">
        <v>113</v>
      </c>
    </row>
    <row r="16" spans="1:3" ht="42" x14ac:dyDescent="0.35">
      <c r="A16" s="99" t="s">
        <v>86</v>
      </c>
      <c r="B16" s="17" t="s">
        <v>87</v>
      </c>
      <c r="C16" s="49" t="s">
        <v>88</v>
      </c>
    </row>
    <row r="17" spans="1:3" ht="56" x14ac:dyDescent="0.35">
      <c r="A17" s="100"/>
      <c r="B17" s="17" t="s">
        <v>89</v>
      </c>
      <c r="C17" s="49" t="s">
        <v>90</v>
      </c>
    </row>
    <row r="18" spans="1:3" ht="42" x14ac:dyDescent="0.35">
      <c r="A18" s="100"/>
      <c r="B18" s="17" t="s">
        <v>91</v>
      </c>
      <c r="C18" s="49" t="s">
        <v>92</v>
      </c>
    </row>
    <row r="19" spans="1:3" ht="42" x14ac:dyDescent="0.35">
      <c r="A19" s="100"/>
      <c r="B19" s="17" t="s">
        <v>93</v>
      </c>
      <c r="C19" s="49" t="s">
        <v>94</v>
      </c>
    </row>
    <row r="20" spans="1:3" ht="42" x14ac:dyDescent="0.35">
      <c r="A20" s="100"/>
      <c r="B20" s="17" t="s">
        <v>95</v>
      </c>
      <c r="C20" s="49" t="s">
        <v>96</v>
      </c>
    </row>
    <row r="21" spans="1:3" ht="56" x14ac:dyDescent="0.35">
      <c r="A21" s="101"/>
      <c r="B21" s="17" t="s">
        <v>97</v>
      </c>
      <c r="C21" s="49" t="s">
        <v>98</v>
      </c>
    </row>
    <row r="22" spans="1:3" ht="42" x14ac:dyDescent="0.35">
      <c r="A22" s="99" t="s">
        <v>35</v>
      </c>
      <c r="B22" s="49" t="s">
        <v>532</v>
      </c>
      <c r="C22" s="49" t="s">
        <v>533</v>
      </c>
    </row>
    <row r="23" spans="1:3" ht="42" x14ac:dyDescent="0.35">
      <c r="A23" s="100"/>
      <c r="B23" s="49" t="s">
        <v>534</v>
      </c>
      <c r="C23" s="49" t="s">
        <v>535</v>
      </c>
    </row>
    <row r="24" spans="1:3" ht="42" x14ac:dyDescent="0.35">
      <c r="A24" s="100"/>
      <c r="B24" s="49" t="s">
        <v>536</v>
      </c>
      <c r="C24" s="49" t="s">
        <v>537</v>
      </c>
    </row>
    <row r="25" spans="1:3" ht="43" x14ac:dyDescent="0.35">
      <c r="A25" s="100"/>
      <c r="B25" s="49" t="s">
        <v>538</v>
      </c>
      <c r="C25" s="49" t="s">
        <v>539</v>
      </c>
    </row>
    <row r="26" spans="1:3" ht="28" x14ac:dyDescent="0.35">
      <c r="A26" s="100"/>
      <c r="B26" s="49" t="s">
        <v>540</v>
      </c>
      <c r="C26" s="49" t="s">
        <v>541</v>
      </c>
    </row>
    <row r="27" spans="1:3" ht="56" x14ac:dyDescent="0.35">
      <c r="A27" s="100"/>
      <c r="B27" s="49" t="s">
        <v>542</v>
      </c>
      <c r="C27" s="49" t="s">
        <v>543</v>
      </c>
    </row>
    <row r="28" spans="1:3" ht="28" x14ac:dyDescent="0.35">
      <c r="A28" s="100"/>
      <c r="B28" s="49" t="s">
        <v>544</v>
      </c>
      <c r="C28" s="49" t="s">
        <v>545</v>
      </c>
    </row>
    <row r="29" spans="1:3" ht="42" x14ac:dyDescent="0.35">
      <c r="A29" s="101"/>
      <c r="B29" s="49" t="s">
        <v>546</v>
      </c>
      <c r="C29" s="49" t="s">
        <v>547</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18</v>
      </c>
      <c r="B1" s="37" t="s">
        <v>54</v>
      </c>
      <c r="C1" s="37" t="s">
        <v>55</v>
      </c>
    </row>
    <row r="2" spans="1:3" ht="56" x14ac:dyDescent="0.35">
      <c r="A2" s="99" t="s">
        <v>32</v>
      </c>
      <c r="B2" s="17" t="s">
        <v>158</v>
      </c>
      <c r="C2" s="17" t="s">
        <v>159</v>
      </c>
    </row>
    <row r="3" spans="1:3" ht="56" x14ac:dyDescent="0.35">
      <c r="A3" s="100"/>
      <c r="B3" s="17" t="s">
        <v>160</v>
      </c>
      <c r="C3" s="17" t="s">
        <v>161</v>
      </c>
    </row>
    <row r="4" spans="1:3" ht="56" x14ac:dyDescent="0.35">
      <c r="A4" s="100"/>
      <c r="B4" s="17" t="s">
        <v>162</v>
      </c>
      <c r="C4" s="17" t="s">
        <v>163</v>
      </c>
    </row>
    <row r="5" spans="1:3" ht="70" x14ac:dyDescent="0.35">
      <c r="A5" s="100"/>
      <c r="B5" s="17" t="s">
        <v>164</v>
      </c>
      <c r="C5" s="17" t="s">
        <v>165</v>
      </c>
    </row>
    <row r="6" spans="1:3" ht="56" x14ac:dyDescent="0.35">
      <c r="A6" s="100"/>
      <c r="B6" s="17" t="s">
        <v>166</v>
      </c>
      <c r="C6" s="17" t="s">
        <v>167</v>
      </c>
    </row>
    <row r="7" spans="1:3" ht="56" x14ac:dyDescent="0.35">
      <c r="A7" s="100"/>
      <c r="B7" s="17" t="s">
        <v>168</v>
      </c>
      <c r="C7" s="17" t="s">
        <v>169</v>
      </c>
    </row>
    <row r="8" spans="1:3" ht="56" x14ac:dyDescent="0.35">
      <c r="A8" s="100"/>
      <c r="B8" s="17" t="s">
        <v>170</v>
      </c>
      <c r="C8" s="17" t="s">
        <v>171</v>
      </c>
    </row>
    <row r="9" spans="1:3" ht="56" x14ac:dyDescent="0.35">
      <c r="A9" s="100"/>
      <c r="B9" s="18" t="s">
        <v>172</v>
      </c>
      <c r="C9" s="17" t="s">
        <v>173</v>
      </c>
    </row>
    <row r="10" spans="1:3" ht="56" x14ac:dyDescent="0.35">
      <c r="A10" s="100"/>
      <c r="B10" s="17" t="s">
        <v>174</v>
      </c>
      <c r="C10" s="17" t="s">
        <v>175</v>
      </c>
    </row>
    <row r="11" spans="1:3" ht="56" x14ac:dyDescent="0.35">
      <c r="A11" s="101"/>
      <c r="B11" s="17" t="s">
        <v>176</v>
      </c>
      <c r="C11" s="17" t="s">
        <v>177</v>
      </c>
    </row>
    <row r="12" spans="1:3" ht="84" x14ac:dyDescent="0.35">
      <c r="A12" s="99" t="s">
        <v>39</v>
      </c>
      <c r="B12" s="18" t="s">
        <v>178</v>
      </c>
      <c r="C12" s="17" t="s">
        <v>354</v>
      </c>
    </row>
    <row r="13" spans="1:3" ht="70" x14ac:dyDescent="0.35">
      <c r="A13" s="100"/>
      <c r="B13" s="18" t="s">
        <v>179</v>
      </c>
      <c r="C13" s="17" t="s">
        <v>180</v>
      </c>
    </row>
    <row r="14" spans="1:3" ht="70" x14ac:dyDescent="0.35">
      <c r="A14" s="100"/>
      <c r="B14" s="18" t="s">
        <v>181</v>
      </c>
      <c r="C14" s="17" t="s">
        <v>182</v>
      </c>
    </row>
    <row r="15" spans="1:3" ht="84" x14ac:dyDescent="0.35">
      <c r="A15" s="101"/>
      <c r="B15" s="18" t="s">
        <v>183</v>
      </c>
      <c r="C15" s="17" t="s">
        <v>184</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1"/>
  <sheetViews>
    <sheetView showGridLines="0" workbookViewId="0">
      <pane ySplit="1" topLeftCell="A2" activePane="bottomLeft" state="frozen"/>
      <selection pane="bottomLeft" activeCell="G11" sqref="G11"/>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18</v>
      </c>
      <c r="B1" s="37" t="s">
        <v>54</v>
      </c>
      <c r="C1" s="37" t="s">
        <v>55</v>
      </c>
    </row>
    <row r="2" spans="1:3" s="1" customFormat="1" ht="70" x14ac:dyDescent="0.35">
      <c r="A2" s="131" t="s">
        <v>307</v>
      </c>
      <c r="B2" s="49" t="s">
        <v>212</v>
      </c>
      <c r="C2" s="17" t="s">
        <v>213</v>
      </c>
    </row>
    <row r="3" spans="1:3" s="1" customFormat="1" ht="70" x14ac:dyDescent="0.35">
      <c r="A3" s="132"/>
      <c r="B3" s="49" t="s">
        <v>214</v>
      </c>
      <c r="C3" s="17" t="s">
        <v>548</v>
      </c>
    </row>
    <row r="4" spans="1:3" s="1" customFormat="1" ht="70" x14ac:dyDescent="0.35">
      <c r="A4" s="133"/>
      <c r="B4" s="49" t="s">
        <v>215</v>
      </c>
      <c r="C4" s="17" t="s">
        <v>549</v>
      </c>
    </row>
    <row r="5" spans="1:3" s="1" customFormat="1" ht="28" x14ac:dyDescent="0.35">
      <c r="A5" s="131" t="s">
        <v>332</v>
      </c>
      <c r="B5" s="46" t="s">
        <v>344</v>
      </c>
      <c r="C5" s="46" t="s">
        <v>345</v>
      </c>
    </row>
    <row r="6" spans="1:3" s="1" customFormat="1" ht="56" x14ac:dyDescent="0.35">
      <c r="A6" s="132"/>
      <c r="B6" s="46" t="s">
        <v>346</v>
      </c>
      <c r="C6" s="46" t="s">
        <v>347</v>
      </c>
    </row>
    <row r="7" spans="1:3" s="1" customFormat="1" ht="28" x14ac:dyDescent="0.35">
      <c r="A7" s="132"/>
      <c r="B7" s="46" t="s">
        <v>348</v>
      </c>
      <c r="C7" s="46" t="s">
        <v>349</v>
      </c>
    </row>
    <row r="8" spans="1:3" s="1" customFormat="1" ht="42" x14ac:dyDescent="0.35">
      <c r="A8" s="132"/>
      <c r="B8" s="65" t="s">
        <v>350</v>
      </c>
      <c r="C8" s="48" t="s">
        <v>351</v>
      </c>
    </row>
    <row r="9" spans="1:3" s="1" customFormat="1" ht="28" x14ac:dyDescent="0.35">
      <c r="A9" s="133"/>
      <c r="B9" s="46" t="s">
        <v>352</v>
      </c>
      <c r="C9" s="46" t="s">
        <v>353</v>
      </c>
    </row>
    <row r="10" spans="1:3" s="1" customFormat="1" ht="42" x14ac:dyDescent="0.35">
      <c r="A10" s="131" t="s">
        <v>576</v>
      </c>
      <c r="B10" s="12" t="s">
        <v>577</v>
      </c>
      <c r="C10" s="13" t="s">
        <v>578</v>
      </c>
    </row>
    <row r="11" spans="1:3" s="1" customFormat="1" ht="42" x14ac:dyDescent="0.35">
      <c r="A11" s="132"/>
      <c r="B11" s="12" t="s">
        <v>579</v>
      </c>
      <c r="C11" s="13" t="s">
        <v>580</v>
      </c>
    </row>
    <row r="12" spans="1:3" s="1" customFormat="1" ht="28" x14ac:dyDescent="0.35">
      <c r="A12" s="132"/>
      <c r="B12" s="12" t="s">
        <v>581</v>
      </c>
      <c r="C12" s="13" t="s">
        <v>582</v>
      </c>
    </row>
    <row r="13" spans="1:3" s="1" customFormat="1" ht="42" x14ac:dyDescent="0.35">
      <c r="A13" s="132"/>
      <c r="B13" s="12" t="s">
        <v>583</v>
      </c>
      <c r="C13" s="13" t="s">
        <v>584</v>
      </c>
    </row>
    <row r="14" spans="1:3" s="1" customFormat="1" ht="42" x14ac:dyDescent="0.35">
      <c r="A14" s="132"/>
      <c r="B14" s="12" t="s">
        <v>585</v>
      </c>
      <c r="C14" s="13" t="s">
        <v>586</v>
      </c>
    </row>
    <row r="15" spans="1:3" s="1" customFormat="1" ht="28" x14ac:dyDescent="0.35">
      <c r="A15" s="132"/>
      <c r="B15" s="12" t="s">
        <v>587</v>
      </c>
      <c r="C15" s="13" t="s">
        <v>588</v>
      </c>
    </row>
    <row r="16" spans="1:3" s="1" customFormat="1" ht="28" x14ac:dyDescent="0.35">
      <c r="A16" s="133"/>
      <c r="B16" s="12" t="s">
        <v>589</v>
      </c>
      <c r="C16" s="13" t="s">
        <v>590</v>
      </c>
    </row>
    <row r="17" spans="1:3" s="1" customFormat="1" ht="70" x14ac:dyDescent="0.35">
      <c r="A17" s="131" t="s">
        <v>343</v>
      </c>
      <c r="B17" s="49" t="s">
        <v>190</v>
      </c>
      <c r="C17" s="17" t="s">
        <v>191</v>
      </c>
    </row>
    <row r="18" spans="1:3" s="1" customFormat="1" ht="84" x14ac:dyDescent="0.35">
      <c r="A18" s="132"/>
      <c r="B18" s="49" t="s">
        <v>192</v>
      </c>
      <c r="C18" s="17" t="s">
        <v>193</v>
      </c>
    </row>
    <row r="19" spans="1:3" s="1" customFormat="1" ht="84" x14ac:dyDescent="0.35">
      <c r="A19" s="132"/>
      <c r="B19" s="49" t="s">
        <v>194</v>
      </c>
      <c r="C19" s="17" t="s">
        <v>195</v>
      </c>
    </row>
    <row r="20" spans="1:3" s="1" customFormat="1" ht="112" x14ac:dyDescent="0.35">
      <c r="A20" s="132"/>
      <c r="B20" s="49" t="s">
        <v>196</v>
      </c>
      <c r="C20" s="17" t="s">
        <v>197</v>
      </c>
    </row>
    <row r="21" spans="1:3" s="1" customFormat="1" ht="42" x14ac:dyDescent="0.35">
      <c r="A21" s="132"/>
      <c r="B21" s="49" t="s">
        <v>198</v>
      </c>
      <c r="C21" s="17" t="s">
        <v>199</v>
      </c>
    </row>
    <row r="22" spans="1:3" s="1" customFormat="1" ht="56" x14ac:dyDescent="0.35">
      <c r="A22" s="132"/>
      <c r="B22" s="49" t="s">
        <v>200</v>
      </c>
      <c r="C22" s="17" t="s">
        <v>201</v>
      </c>
    </row>
    <row r="23" spans="1:3" s="1" customFormat="1" ht="42" x14ac:dyDescent="0.35">
      <c r="A23" s="132"/>
      <c r="B23" s="49" t="s">
        <v>202</v>
      </c>
      <c r="C23" s="17" t="s">
        <v>203</v>
      </c>
    </row>
    <row r="24" spans="1:3" s="1" customFormat="1" ht="112" x14ac:dyDescent="0.35">
      <c r="A24" s="132"/>
      <c r="B24" s="49" t="s">
        <v>204</v>
      </c>
      <c r="C24" s="17" t="s">
        <v>205</v>
      </c>
    </row>
    <row r="25" spans="1:3" s="1" customFormat="1" ht="42" x14ac:dyDescent="0.35">
      <c r="A25" s="132"/>
      <c r="B25" s="49" t="s">
        <v>206</v>
      </c>
      <c r="C25" s="17" t="s">
        <v>207</v>
      </c>
    </row>
    <row r="26" spans="1:3" s="1" customFormat="1" ht="28" x14ac:dyDescent="0.35">
      <c r="A26" s="132"/>
      <c r="B26" s="49" t="s">
        <v>208</v>
      </c>
      <c r="C26" s="17" t="s">
        <v>209</v>
      </c>
    </row>
    <row r="27" spans="1:3" s="1" customFormat="1" ht="42" x14ac:dyDescent="0.35">
      <c r="A27" s="133"/>
      <c r="B27" s="49" t="s">
        <v>210</v>
      </c>
      <c r="C27" s="17" t="s">
        <v>211</v>
      </c>
    </row>
    <row r="28" spans="1:3" s="1" customFormat="1" ht="56" x14ac:dyDescent="0.35">
      <c r="A28" s="124" t="s">
        <v>27</v>
      </c>
      <c r="B28" s="66" t="s">
        <v>216</v>
      </c>
      <c r="C28" s="67" t="s">
        <v>217</v>
      </c>
    </row>
    <row r="29" spans="1:3" s="1" customFormat="1" ht="42" x14ac:dyDescent="0.35">
      <c r="A29" s="126"/>
      <c r="B29" s="68" t="s">
        <v>218</v>
      </c>
      <c r="C29" s="69" t="s">
        <v>219</v>
      </c>
    </row>
    <row r="51" s="1" customFormat="1" x14ac:dyDescent="0.35"/>
  </sheetData>
  <mergeCells count="5">
    <mergeCell ref="A2:A4"/>
    <mergeCell ref="A5:A9"/>
    <mergeCell ref="A17:A27"/>
    <mergeCell ref="A28:A29"/>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18</v>
      </c>
      <c r="B1" s="37" t="s">
        <v>54</v>
      </c>
      <c r="C1" s="37" t="s">
        <v>55</v>
      </c>
    </row>
    <row r="2" spans="1:3" s="42" customFormat="1" ht="140" x14ac:dyDescent="0.35">
      <c r="A2" s="49" t="s">
        <v>287</v>
      </c>
      <c r="B2" s="49" t="s">
        <v>99</v>
      </c>
      <c r="C2" s="46" t="s">
        <v>375</v>
      </c>
    </row>
    <row r="3" spans="1:3" s="11" customFormat="1" ht="42" x14ac:dyDescent="0.3">
      <c r="A3" s="99" t="s">
        <v>309</v>
      </c>
      <c r="B3" s="18" t="s">
        <v>185</v>
      </c>
      <c r="C3" s="18" t="s">
        <v>262</v>
      </c>
    </row>
    <row r="4" spans="1:3" s="11" customFormat="1" ht="14" x14ac:dyDescent="0.3">
      <c r="A4" s="100"/>
      <c r="B4" s="18" t="s">
        <v>186</v>
      </c>
      <c r="C4" s="18" t="s">
        <v>263</v>
      </c>
    </row>
    <row r="5" spans="1:3" s="11" customFormat="1" ht="28" x14ac:dyDescent="0.3">
      <c r="A5" s="100"/>
      <c r="B5" s="18" t="s">
        <v>187</v>
      </c>
      <c r="C5" s="18" t="s">
        <v>264</v>
      </c>
    </row>
    <row r="6" spans="1:3" s="11" customFormat="1" ht="14" x14ac:dyDescent="0.3">
      <c r="A6" s="100"/>
      <c r="B6" s="18" t="s">
        <v>188</v>
      </c>
      <c r="C6" s="18" t="s">
        <v>189</v>
      </c>
    </row>
    <row r="7" spans="1:3" s="11" customFormat="1" ht="42" x14ac:dyDescent="0.3">
      <c r="A7" s="100"/>
      <c r="B7" s="17" t="s">
        <v>265</v>
      </c>
      <c r="C7" s="18" t="s">
        <v>266</v>
      </c>
    </row>
    <row r="8" spans="1:3" s="11" customFormat="1" ht="28" x14ac:dyDescent="0.3">
      <c r="A8" s="100"/>
      <c r="B8" s="50" t="s">
        <v>267</v>
      </c>
      <c r="C8" s="17" t="s">
        <v>268</v>
      </c>
    </row>
    <row r="9" spans="1:3" s="11" customFormat="1" ht="56" x14ac:dyDescent="0.3">
      <c r="A9" s="100"/>
      <c r="B9" s="50" t="s">
        <v>269</v>
      </c>
      <c r="C9" s="51" t="s">
        <v>376</v>
      </c>
    </row>
    <row r="10" spans="1:3" s="11" customFormat="1" ht="28" x14ac:dyDescent="0.3">
      <c r="A10" s="100"/>
      <c r="B10" s="134" t="s">
        <v>270</v>
      </c>
      <c r="C10" s="52" t="s">
        <v>377</v>
      </c>
    </row>
    <row r="11" spans="1:3" s="11" customFormat="1" ht="28" x14ac:dyDescent="0.3">
      <c r="A11" s="100"/>
      <c r="B11" s="135"/>
      <c r="C11" s="53" t="s">
        <v>378</v>
      </c>
    </row>
    <row r="12" spans="1:3" s="11" customFormat="1" ht="42" x14ac:dyDescent="0.3">
      <c r="A12" s="100"/>
      <c r="B12" s="50" t="s">
        <v>271</v>
      </c>
      <c r="C12" s="51" t="s">
        <v>379</v>
      </c>
    </row>
    <row r="13" spans="1:3" s="11" customFormat="1" ht="28" x14ac:dyDescent="0.3">
      <c r="A13" s="100"/>
      <c r="B13" s="134" t="s">
        <v>272</v>
      </c>
      <c r="C13" s="52" t="s">
        <v>380</v>
      </c>
    </row>
    <row r="14" spans="1:3" s="11" customFormat="1" ht="14" x14ac:dyDescent="0.3">
      <c r="A14" s="100"/>
      <c r="B14" s="136"/>
      <c r="C14" s="54" t="s">
        <v>381</v>
      </c>
    </row>
    <row r="15" spans="1:3" s="11" customFormat="1" ht="14" x14ac:dyDescent="0.3">
      <c r="A15" s="100"/>
      <c r="B15" s="135"/>
      <c r="C15" s="55" t="s">
        <v>273</v>
      </c>
    </row>
    <row r="16" spans="1:3" s="11" customFormat="1" ht="28" x14ac:dyDescent="0.3">
      <c r="A16" s="100"/>
      <c r="B16" s="17" t="s">
        <v>274</v>
      </c>
      <c r="C16" s="17" t="s">
        <v>275</v>
      </c>
    </row>
    <row r="17" spans="1:3" s="11" customFormat="1" ht="42" x14ac:dyDescent="0.3">
      <c r="A17" s="100"/>
      <c r="B17" s="50" t="s">
        <v>276</v>
      </c>
      <c r="C17" s="51" t="s">
        <v>382</v>
      </c>
    </row>
    <row r="18" spans="1:3" s="11" customFormat="1" ht="42" x14ac:dyDescent="0.3">
      <c r="A18" s="100"/>
      <c r="B18" s="50" t="s">
        <v>286</v>
      </c>
      <c r="C18" s="17" t="s">
        <v>277</v>
      </c>
    </row>
    <row r="19" spans="1:3" s="11" customFormat="1" ht="56" x14ac:dyDescent="0.3">
      <c r="A19" s="100"/>
      <c r="B19" s="50" t="s">
        <v>278</v>
      </c>
      <c r="C19" s="17" t="s">
        <v>279</v>
      </c>
    </row>
    <row r="20" spans="1:3" s="11" customFormat="1" ht="42" x14ac:dyDescent="0.3">
      <c r="A20" s="100"/>
      <c r="B20" s="50" t="s">
        <v>280</v>
      </c>
      <c r="C20" s="17" t="s">
        <v>281</v>
      </c>
    </row>
    <row r="21" spans="1:3" s="11" customFormat="1" ht="42" x14ac:dyDescent="0.3">
      <c r="A21" s="100"/>
      <c r="B21" s="50" t="s">
        <v>282</v>
      </c>
      <c r="C21" s="17" t="s">
        <v>283</v>
      </c>
    </row>
    <row r="22" spans="1:3" s="11" customFormat="1" ht="42" x14ac:dyDescent="0.3">
      <c r="A22" s="101"/>
      <c r="B22" s="50" t="s">
        <v>284</v>
      </c>
      <c r="C22" s="17" t="s">
        <v>285</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2" activePane="bottomLeft" state="frozen"/>
      <selection pane="bottomLeft" activeCell="D2" sqref="D2:D21"/>
    </sheetView>
  </sheetViews>
  <sheetFormatPr defaultRowHeight="14" x14ac:dyDescent="0.3"/>
  <cols>
    <col min="1" max="1" width="32.54296875" style="11" bestFit="1" customWidth="1"/>
    <col min="2" max="2" width="33.453125" style="11" bestFit="1" customWidth="1"/>
    <col min="3" max="3" width="45.1796875" style="11" bestFit="1" customWidth="1"/>
    <col min="4" max="4" width="9.7265625" style="11" bestFit="1" customWidth="1"/>
    <col min="5" max="16384" width="8.7265625" style="11"/>
  </cols>
  <sheetData>
    <row r="1" spans="1:4" s="42" customFormat="1" ht="20.149999999999999" customHeight="1" x14ac:dyDescent="0.35">
      <c r="A1" s="37" t="s">
        <v>6</v>
      </c>
      <c r="B1" s="37" t="s">
        <v>220</v>
      </c>
      <c r="C1" s="37" t="s">
        <v>221</v>
      </c>
      <c r="D1" s="37" t="s">
        <v>8</v>
      </c>
    </row>
    <row r="2" spans="1:4" x14ac:dyDescent="0.3">
      <c r="A2" s="56" t="s">
        <v>222</v>
      </c>
      <c r="B2" s="56" t="s">
        <v>619</v>
      </c>
      <c r="C2" s="56" t="s">
        <v>620</v>
      </c>
      <c r="D2" s="56">
        <v>0.75</v>
      </c>
    </row>
    <row r="3" spans="1:4" x14ac:dyDescent="0.3">
      <c r="A3" s="56" t="s">
        <v>222</v>
      </c>
      <c r="B3" s="56" t="s">
        <v>223</v>
      </c>
      <c r="C3" s="56" t="s">
        <v>224</v>
      </c>
      <c r="D3" s="56">
        <v>2</v>
      </c>
    </row>
    <row r="4" spans="1:4" x14ac:dyDescent="0.3">
      <c r="A4" s="56" t="s">
        <v>222</v>
      </c>
      <c r="B4" s="56" t="s">
        <v>225</v>
      </c>
      <c r="C4" s="56" t="s">
        <v>226</v>
      </c>
      <c r="D4" s="56">
        <v>2</v>
      </c>
    </row>
    <row r="5" spans="1:4" x14ac:dyDescent="0.3">
      <c r="A5" s="56" t="s">
        <v>227</v>
      </c>
      <c r="B5" s="56" t="s">
        <v>228</v>
      </c>
      <c r="C5" s="56" t="s">
        <v>229</v>
      </c>
      <c r="D5" s="56">
        <v>2</v>
      </c>
    </row>
    <row r="6" spans="1:4" x14ac:dyDescent="0.3">
      <c r="A6" s="56" t="s">
        <v>227</v>
      </c>
      <c r="B6" s="56" t="s">
        <v>225</v>
      </c>
      <c r="C6" s="56" t="s">
        <v>230</v>
      </c>
      <c r="D6" s="56">
        <v>2</v>
      </c>
    </row>
    <row r="7" spans="1:4" x14ac:dyDescent="0.3">
      <c r="A7" s="56" t="s">
        <v>231</v>
      </c>
      <c r="B7" s="56" t="s">
        <v>223</v>
      </c>
      <c r="C7" s="56" t="s">
        <v>232</v>
      </c>
      <c r="D7" s="56">
        <v>2</v>
      </c>
    </row>
    <row r="8" spans="1:4" x14ac:dyDescent="0.3">
      <c r="A8" s="56" t="s">
        <v>231</v>
      </c>
      <c r="B8" s="56" t="s">
        <v>233</v>
      </c>
      <c r="C8" s="56" t="s">
        <v>234</v>
      </c>
      <c r="D8" s="56">
        <v>2</v>
      </c>
    </row>
    <row r="9" spans="1:4" x14ac:dyDescent="0.3">
      <c r="A9" s="56" t="s">
        <v>235</v>
      </c>
      <c r="B9" s="56" t="s">
        <v>225</v>
      </c>
      <c r="C9" s="56" t="s">
        <v>236</v>
      </c>
      <c r="D9" s="56">
        <v>2</v>
      </c>
    </row>
    <row r="10" spans="1:4" x14ac:dyDescent="0.3">
      <c r="A10" s="56" t="s">
        <v>235</v>
      </c>
      <c r="B10" s="56" t="s">
        <v>237</v>
      </c>
      <c r="C10" s="56" t="s">
        <v>238</v>
      </c>
      <c r="D10" s="56">
        <v>2</v>
      </c>
    </row>
    <row r="11" spans="1:4" x14ac:dyDescent="0.3">
      <c r="A11" s="137" t="s">
        <v>239</v>
      </c>
      <c r="B11" s="56" t="s">
        <v>240</v>
      </c>
      <c r="C11" s="56" t="s">
        <v>241</v>
      </c>
      <c r="D11" s="56">
        <v>2</v>
      </c>
    </row>
    <row r="12" spans="1:4" x14ac:dyDescent="0.3">
      <c r="A12" s="138"/>
      <c r="B12" s="56" t="s">
        <v>242</v>
      </c>
      <c r="C12" s="56" t="s">
        <v>241</v>
      </c>
      <c r="D12" s="56">
        <v>3</v>
      </c>
    </row>
    <row r="13" spans="1:4" x14ac:dyDescent="0.3">
      <c r="A13" s="56" t="s">
        <v>243</v>
      </c>
      <c r="B13" s="56" t="s">
        <v>237</v>
      </c>
      <c r="C13" s="56" t="s">
        <v>244</v>
      </c>
      <c r="D13" s="56">
        <v>2</v>
      </c>
    </row>
    <row r="14" spans="1:4" x14ac:dyDescent="0.3">
      <c r="A14" s="56" t="s">
        <v>14</v>
      </c>
      <c r="B14" s="56" t="s">
        <v>233</v>
      </c>
      <c r="C14" s="56" t="s">
        <v>245</v>
      </c>
      <c r="D14" s="56">
        <v>2</v>
      </c>
    </row>
    <row r="15" spans="1:4" x14ac:dyDescent="0.3">
      <c r="A15" s="56" t="s">
        <v>14</v>
      </c>
      <c r="B15" s="56" t="s">
        <v>225</v>
      </c>
      <c r="C15" s="56" t="s">
        <v>246</v>
      </c>
      <c r="D15" s="56">
        <v>2</v>
      </c>
    </row>
    <row r="16" spans="1:4" x14ac:dyDescent="0.3">
      <c r="A16" s="56" t="s">
        <v>247</v>
      </c>
      <c r="B16" s="56" t="s">
        <v>237</v>
      </c>
      <c r="C16" s="56" t="s">
        <v>238</v>
      </c>
      <c r="D16" s="56">
        <v>2</v>
      </c>
    </row>
    <row r="17" spans="1:4" x14ac:dyDescent="0.3">
      <c r="A17" s="56" t="s">
        <v>247</v>
      </c>
      <c r="B17" s="56" t="s">
        <v>237</v>
      </c>
      <c r="C17" s="56" t="s">
        <v>248</v>
      </c>
      <c r="D17" s="56">
        <v>2</v>
      </c>
    </row>
    <row r="18" spans="1:4" x14ac:dyDescent="0.3">
      <c r="A18" s="76" t="s">
        <v>249</v>
      </c>
      <c r="B18" s="76" t="s">
        <v>225</v>
      </c>
      <c r="C18" s="76" t="s">
        <v>250</v>
      </c>
      <c r="D18" s="76">
        <v>2</v>
      </c>
    </row>
    <row r="19" spans="1:4" x14ac:dyDescent="0.3">
      <c r="A19" s="139" t="s">
        <v>251</v>
      </c>
      <c r="B19" s="77" t="s">
        <v>252</v>
      </c>
      <c r="C19" s="77" t="s">
        <v>253</v>
      </c>
      <c r="D19" s="77">
        <v>2</v>
      </c>
    </row>
    <row r="20" spans="1:4" x14ac:dyDescent="0.3">
      <c r="A20" s="140"/>
      <c r="B20" s="77" t="s">
        <v>254</v>
      </c>
      <c r="C20" s="77" t="s">
        <v>255</v>
      </c>
      <c r="D20" s="77">
        <v>3.5</v>
      </c>
    </row>
    <row r="21" spans="1:4" x14ac:dyDescent="0.3">
      <c r="A21" s="77" t="s">
        <v>621</v>
      </c>
      <c r="B21" s="77" t="s">
        <v>622</v>
      </c>
      <c r="C21" s="77" t="s">
        <v>623</v>
      </c>
      <c r="D21" s="77">
        <v>0.75</v>
      </c>
    </row>
  </sheetData>
  <mergeCells count="2">
    <mergeCell ref="A11:A12"/>
    <mergeCell ref="A19:A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D4" sqref="D4"/>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7" t="s">
        <v>256</v>
      </c>
      <c r="B1" s="57" t="s">
        <v>257</v>
      </c>
    </row>
    <row r="2" spans="1:2" ht="98" x14ac:dyDescent="0.35">
      <c r="A2" s="36" t="s">
        <v>383</v>
      </c>
      <c r="B2" s="36" t="s">
        <v>258</v>
      </c>
    </row>
    <row r="3" spans="1:2" ht="56" x14ac:dyDescent="0.35">
      <c r="A3" s="36" t="s">
        <v>384</v>
      </c>
      <c r="B3" s="36" t="s">
        <v>259</v>
      </c>
    </row>
    <row r="4" spans="1:2" ht="42" x14ac:dyDescent="0.35">
      <c r="A4" s="36" t="s">
        <v>385</v>
      </c>
      <c r="B4" s="36" t="s">
        <v>296</v>
      </c>
    </row>
    <row r="5" spans="1:2" ht="98" x14ac:dyDescent="0.35">
      <c r="A5" s="36" t="s">
        <v>386</v>
      </c>
      <c r="B5" s="36" t="s">
        <v>297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8" t="s">
        <v>387</v>
      </c>
      <c r="B1" s="59" t="s">
        <v>388</v>
      </c>
    </row>
    <row r="2" spans="1:2" ht="28.5" x14ac:dyDescent="0.35">
      <c r="A2" s="60" t="s">
        <v>389</v>
      </c>
      <c r="B2" s="61" t="s">
        <v>390</v>
      </c>
    </row>
    <row r="3" spans="1:2" x14ac:dyDescent="0.35">
      <c r="A3" s="62" t="s">
        <v>391</v>
      </c>
      <c r="B3" s="61" t="s">
        <v>392</v>
      </c>
    </row>
    <row r="4" spans="1:2" x14ac:dyDescent="0.35">
      <c r="A4" s="62" t="s">
        <v>393</v>
      </c>
      <c r="B4" s="61" t="s">
        <v>394</v>
      </c>
    </row>
    <row r="5" spans="1:2" x14ac:dyDescent="0.35">
      <c r="A5" s="141" t="s">
        <v>395</v>
      </c>
      <c r="B5" s="63" t="s">
        <v>396</v>
      </c>
    </row>
    <row r="6" spans="1:2" x14ac:dyDescent="0.35">
      <c r="A6" s="142"/>
      <c r="B6" s="63" t="s">
        <v>397</v>
      </c>
    </row>
    <row r="7" spans="1:2" x14ac:dyDescent="0.35">
      <c r="A7" s="142"/>
      <c r="B7" s="63" t="s">
        <v>398</v>
      </c>
    </row>
    <row r="8" spans="1:2" x14ac:dyDescent="0.35">
      <c r="A8" s="142"/>
      <c r="B8" s="63" t="s">
        <v>399</v>
      </c>
    </row>
    <row r="9" spans="1:2" x14ac:dyDescent="0.35">
      <c r="A9" s="142"/>
      <c r="B9" s="61" t="s">
        <v>400</v>
      </c>
    </row>
    <row r="10" spans="1:2" x14ac:dyDescent="0.35">
      <c r="A10" s="143" t="s">
        <v>401</v>
      </c>
      <c r="B10" s="63" t="s">
        <v>402</v>
      </c>
    </row>
    <row r="11" spans="1:2" x14ac:dyDescent="0.35">
      <c r="A11" s="143"/>
      <c r="B11" s="63" t="s">
        <v>403</v>
      </c>
    </row>
    <row r="12" spans="1:2" x14ac:dyDescent="0.35">
      <c r="A12" s="143"/>
      <c r="B12" s="63" t="s">
        <v>404</v>
      </c>
    </row>
    <row r="13" spans="1:2" x14ac:dyDescent="0.35">
      <c r="A13" s="143"/>
      <c r="B13" s="61" t="s">
        <v>405</v>
      </c>
    </row>
    <row r="14" spans="1:2" x14ac:dyDescent="0.35">
      <c r="A14" s="144" t="s">
        <v>406</v>
      </c>
      <c r="B14" s="63" t="s">
        <v>407</v>
      </c>
    </row>
    <row r="15" spans="1:2" x14ac:dyDescent="0.35">
      <c r="A15" s="144"/>
      <c r="B15" s="63" t="s">
        <v>408</v>
      </c>
    </row>
    <row r="16" spans="1:2" x14ac:dyDescent="0.35">
      <c r="A16" s="144"/>
      <c r="B16" s="63" t="s">
        <v>409</v>
      </c>
    </row>
    <row r="17" spans="1:2" x14ac:dyDescent="0.35">
      <c r="A17" s="144"/>
      <c r="B17" s="61" t="s">
        <v>410</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0391D4-EDB5-437F-BBB5-67D52A4CE290}"/>
</file>

<file path=customXml/itemProps2.xml><?xml version="1.0" encoding="utf-8"?>
<ds:datastoreItem xmlns:ds="http://schemas.openxmlformats.org/officeDocument/2006/customXml" ds:itemID="{10FDE2FA-04F9-47AB-AA88-47B0DF2CB570}">
  <ds:schemaRefs>
    <ds:schemaRef ds:uri="951c5514-b77c-4532-82d5-a05f2f7d58e2"/>
    <ds:schemaRef ds:uri="http://www.w3.org/XML/1998/namespace"/>
    <ds:schemaRef ds:uri="http://schemas.openxmlformats.org/package/2006/metadata/core-properties"/>
    <ds:schemaRef ds:uri="http://purl.org/dc/elements/1.1/"/>
    <ds:schemaRef ds:uri="http://schemas.microsoft.com/office/2006/documentManagement/types"/>
    <ds:schemaRef ds:uri="http://purl.org/dc/terms/"/>
    <ds:schemaRef ds:uri="3c35e321-f73a-4dae-ae38-a0459de24735"/>
    <ds:schemaRef ds:uri="http://schemas.microsoft.com/office/infopath/2007/PartnerControls"/>
    <ds:schemaRef ds:uri="c6f516c4-2602-422c-aa9a-755893ba4f98"/>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7D1B335-0D79-4451-AE45-24BD7D524B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Pujari, Raj Surya (Cognizant)</cp:lastModifiedBy>
  <cp:revision/>
  <dcterms:created xsi:type="dcterms:W3CDTF">2023-10-16T01:13:56Z</dcterms:created>
  <dcterms:modified xsi:type="dcterms:W3CDTF">2026-02-02T11:23:09Z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